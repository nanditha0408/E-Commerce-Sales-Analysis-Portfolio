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soujanya D B\Documents\"/>
    </mc:Choice>
  </mc:AlternateContent>
  <xr:revisionPtr revIDLastSave="0" documentId="8_{B61ACFAC-6FE0-483F-A0F5-C431162D1B60}" xr6:coauthVersionLast="36" xr6:coauthVersionMax="36" xr10:uidLastSave="{00000000-0000-0000-0000-000000000000}"/>
  <bookViews>
    <workbookView xWindow="0" yWindow="0" windowWidth="20490" windowHeight="7545" firstSheet="5" activeTab="5" xr2:uid="{00000000-000D-0000-FFFF-FFFF00000000}"/>
  </bookViews>
  <sheets>
    <sheet name="Monthly sales by trend" sheetId="7" r:id="rId1"/>
    <sheet name="Sales by category" sheetId="10" r:id="rId2"/>
    <sheet name="Profit by category" sheetId="11" r:id="rId3"/>
    <sheet name="Sales by Customer segment" sheetId="15" r:id="rId4"/>
    <sheet name="Sales by state" sheetId="16" r:id="rId5"/>
    <sheet name="Sales by payment " sheetId="18" r:id="rId6"/>
    <sheet name="Orders by order status" sheetId="19" r:id="rId7"/>
    <sheet name="Profit by customer segment" sheetId="20" r:id="rId8"/>
    <sheet name="Raw_Data" sheetId="1" r:id="rId9"/>
    <sheet name="Analysis" sheetId="3" r:id="rId10"/>
    <sheet name="Key Insights" sheetId="21" r:id="rId11"/>
    <sheet name="ecommerce_data" sheetId="24" r:id="rId12"/>
    <sheet name="Project_Guide" sheetId="2" r:id="rId13"/>
  </sheets>
  <calcPr calcId="191029"/>
  <pivotCaches>
    <pivotCache cacheId="0" r:id="rId14"/>
  </pivotCaches>
</workbook>
</file>

<file path=xl/calcChain.xml><?xml version="1.0" encoding="utf-8"?>
<calcChain xmlns="http://schemas.openxmlformats.org/spreadsheetml/2006/main">
  <c r="G5" i="24" l="1"/>
  <c r="A5" i="24"/>
  <c r="E5" i="24"/>
  <c r="C5" i="24"/>
  <c r="B6" i="3" l="1"/>
  <c r="B5" i="3"/>
  <c r="B4" i="3"/>
  <c r="B3" i="3"/>
  <c r="B2" i="3"/>
</calcChain>
</file>

<file path=xl/sharedStrings.xml><?xml version="1.0" encoding="utf-8"?>
<sst xmlns="http://schemas.openxmlformats.org/spreadsheetml/2006/main" count="8144" uniqueCount="1406">
  <si>
    <t>Order_ID</t>
  </si>
  <si>
    <t>Order_Date</t>
  </si>
  <si>
    <t>Customer_ID</t>
  </si>
  <si>
    <t>Customer_Name</t>
  </si>
  <si>
    <t>Product</t>
  </si>
  <si>
    <t>Category</t>
  </si>
  <si>
    <t>Quantity</t>
  </si>
  <si>
    <t>Unit_Price</t>
  </si>
  <si>
    <t>Discount</t>
  </si>
  <si>
    <t>Sales</t>
  </si>
  <si>
    <t>Cost</t>
  </si>
  <si>
    <t>Profit</t>
  </si>
  <si>
    <t>City</t>
  </si>
  <si>
    <t>State</t>
  </si>
  <si>
    <t>Customer_Segment</t>
  </si>
  <si>
    <t>Payment_Method</t>
  </si>
  <si>
    <t>Order_Status</t>
  </si>
  <si>
    <t>ORD0001</t>
  </si>
  <si>
    <t>CUST1036</t>
  </si>
  <si>
    <t>Customer 1036</t>
  </si>
  <si>
    <t>Smartwatch</t>
  </si>
  <si>
    <t>Electronics</t>
  </si>
  <si>
    <t>Mumbai</t>
  </si>
  <si>
    <t>Maharashtra</t>
  </si>
  <si>
    <t>Home Office</t>
  </si>
  <si>
    <t>Net Banking</t>
  </si>
  <si>
    <t>Delivered</t>
  </si>
  <si>
    <t>ORD0002</t>
  </si>
  <si>
    <t>CUST1060</t>
  </si>
  <si>
    <t>Customer 1060</t>
  </si>
  <si>
    <t>Study Table Lamp</t>
  </si>
  <si>
    <t>Home &amp; Kitchen</t>
  </si>
  <si>
    <t>Consumer</t>
  </si>
  <si>
    <t>ORD0003</t>
  </si>
  <si>
    <t>CUST1208</t>
  </si>
  <si>
    <t>Customer 1208</t>
  </si>
  <si>
    <t>Pune</t>
  </si>
  <si>
    <t>Cash on Delivery</t>
  </si>
  <si>
    <t>ORD0004</t>
  </si>
  <si>
    <t>CUST1024</t>
  </si>
  <si>
    <t>Customer 1024</t>
  </si>
  <si>
    <t>Office Chair</t>
  </si>
  <si>
    <t>Furniture</t>
  </si>
  <si>
    <t>Chennai</t>
  </si>
  <si>
    <t>Tamil Nadu</t>
  </si>
  <si>
    <t>Corporate</t>
  </si>
  <si>
    <t>Debit Card</t>
  </si>
  <si>
    <t>Cancelled</t>
  </si>
  <si>
    <t>ORD0005</t>
  </si>
  <si>
    <t>CUST1250</t>
  </si>
  <si>
    <t>Customer 1250</t>
  </si>
  <si>
    <t>ORD0006</t>
  </si>
  <si>
    <t>CUST1012</t>
  </si>
  <si>
    <t>Customer 1012</t>
  </si>
  <si>
    <t>Mixer Grinder</t>
  </si>
  <si>
    <t>UPI</t>
  </si>
  <si>
    <t>ORD0007</t>
  </si>
  <si>
    <t>CUST1042</t>
  </si>
  <si>
    <t>Customer 1042</t>
  </si>
  <si>
    <t>Delhi</t>
  </si>
  <si>
    <t>Returned</t>
  </si>
  <si>
    <t>ORD0008</t>
  </si>
  <si>
    <t>Headphones</t>
  </si>
  <si>
    <t>ORD0009</t>
  </si>
  <si>
    <t>CUST1103</t>
  </si>
  <si>
    <t>Customer 1103</t>
  </si>
  <si>
    <t>Coffee Maker</t>
  </si>
  <si>
    <t>ORD0010</t>
  </si>
  <si>
    <t>CUST1037</t>
  </si>
  <si>
    <t>Customer 1037</t>
  </si>
  <si>
    <t>Mysuru</t>
  </si>
  <si>
    <t>Karnataka</t>
  </si>
  <si>
    <t>ORD0011</t>
  </si>
  <si>
    <t>CUST1093</t>
  </si>
  <si>
    <t>Customer 1093</t>
  </si>
  <si>
    <t>Kolkata</t>
  </si>
  <si>
    <t>West Bengal</t>
  </si>
  <si>
    <t>ORD0012</t>
  </si>
  <si>
    <t>CUST1203</t>
  </si>
  <si>
    <t>Customer 1203</t>
  </si>
  <si>
    <t>Hyderabad</t>
  </si>
  <si>
    <t>Telangana</t>
  </si>
  <si>
    <t>ORD0013</t>
  </si>
  <si>
    <t>CUST1249</t>
  </si>
  <si>
    <t>Customer 1249</t>
  </si>
  <si>
    <t>Book</t>
  </si>
  <si>
    <t>Books</t>
  </si>
  <si>
    <t>ORD0014</t>
  </si>
  <si>
    <t>CUST1041</t>
  </si>
  <si>
    <t>Customer 1041</t>
  </si>
  <si>
    <t>ORD0015</t>
  </si>
  <si>
    <t>CUST1216</t>
  </si>
  <si>
    <t>Customer 1216</t>
  </si>
  <si>
    <t>Shoes</t>
  </si>
  <si>
    <t>Fashion</t>
  </si>
  <si>
    <t>Credit Card</t>
  </si>
  <si>
    <t>ORD0016</t>
  </si>
  <si>
    <t>CUST1154</t>
  </si>
  <si>
    <t>Customer 1154</t>
  </si>
  <si>
    <t>Bengaluru</t>
  </si>
  <si>
    <t>ORD0017</t>
  </si>
  <si>
    <t>CUST1022</t>
  </si>
  <si>
    <t>Customer 1022</t>
  </si>
  <si>
    <t>Desk</t>
  </si>
  <si>
    <t>ORD0018</t>
  </si>
  <si>
    <t>CUST1136</t>
  </si>
  <si>
    <t>Customer 1136</t>
  </si>
  <si>
    <t>Backpack</t>
  </si>
  <si>
    <t>Accessories</t>
  </si>
  <si>
    <t>ORD0019</t>
  </si>
  <si>
    <t>CUST1113</t>
  </si>
  <si>
    <t>Customer 1113</t>
  </si>
  <si>
    <t>T-Shirt</t>
  </si>
  <si>
    <t>ORD0020</t>
  </si>
  <si>
    <t>CUST1151</t>
  </si>
  <si>
    <t>Customer 1151</t>
  </si>
  <si>
    <t>Jeans</t>
  </si>
  <si>
    <t>ORD0021</t>
  </si>
  <si>
    <t>CUST1072</t>
  </si>
  <si>
    <t>Customer 1072</t>
  </si>
  <si>
    <t>ORD0022</t>
  </si>
  <si>
    <t>CUST1025</t>
  </si>
  <si>
    <t>Customer 1025</t>
  </si>
  <si>
    <t>Keyboard</t>
  </si>
  <si>
    <t>ORD0023</t>
  </si>
  <si>
    <t>CUST1016</t>
  </si>
  <si>
    <t>Customer 1016</t>
  </si>
  <si>
    <t>ORD0024</t>
  </si>
  <si>
    <t>CUST1109</t>
  </si>
  <si>
    <t>Customer 1109</t>
  </si>
  <si>
    <t>ORD0025</t>
  </si>
  <si>
    <t>Gaming Mouse</t>
  </si>
  <si>
    <t>ORD0026</t>
  </si>
  <si>
    <t>CUST1043</t>
  </si>
  <si>
    <t>Customer 1043</t>
  </si>
  <si>
    <t>ORD0027</t>
  </si>
  <si>
    <t>CUST1040</t>
  </si>
  <si>
    <t>Customer 1040</t>
  </si>
  <si>
    <t>ORD0028</t>
  </si>
  <si>
    <t>CUST1129</t>
  </si>
  <si>
    <t>Customer 1129</t>
  </si>
  <si>
    <t>Smartphone</t>
  </si>
  <si>
    <t>ORD0029</t>
  </si>
  <si>
    <t>CUST1173</t>
  </si>
  <si>
    <t>Customer 1173</t>
  </si>
  <si>
    <t>ORD0030</t>
  </si>
  <si>
    <t>CUST1108</t>
  </si>
  <si>
    <t>Customer 1108</t>
  </si>
  <si>
    <t>ORD0031</t>
  </si>
  <si>
    <t>CUST1102</t>
  </si>
  <si>
    <t>Customer 1102</t>
  </si>
  <si>
    <t>ORD0032</t>
  </si>
  <si>
    <t>CUST1019</t>
  </si>
  <si>
    <t>Customer 1019</t>
  </si>
  <si>
    <t>ORD0033</t>
  </si>
  <si>
    <t>ORD0034</t>
  </si>
  <si>
    <t>CUST1241</t>
  </si>
  <si>
    <t>Customer 1241</t>
  </si>
  <si>
    <t>Laptop</t>
  </si>
  <si>
    <t>ORD0035</t>
  </si>
  <si>
    <t>CUST1184</t>
  </si>
  <si>
    <t>Customer 1184</t>
  </si>
  <si>
    <t>ORD0036</t>
  </si>
  <si>
    <t>CUST1213</t>
  </si>
  <si>
    <t>Customer 1213</t>
  </si>
  <si>
    <t>ORD0037</t>
  </si>
  <si>
    <t>CUST1144</t>
  </si>
  <si>
    <t>Customer 1144</t>
  </si>
  <si>
    <t>ORD0038</t>
  </si>
  <si>
    <t>CUST1111</t>
  </si>
  <si>
    <t>Customer 1111</t>
  </si>
  <si>
    <t>ORD0039</t>
  </si>
  <si>
    <t>CUST1091</t>
  </si>
  <si>
    <t>Customer 1091</t>
  </si>
  <si>
    <t>ORD0040</t>
  </si>
  <si>
    <t>CUST1007</t>
  </si>
  <si>
    <t>Customer 1007</t>
  </si>
  <si>
    <t>ORD0041</t>
  </si>
  <si>
    <t>CUST1098</t>
  </si>
  <si>
    <t>Customer 1098</t>
  </si>
  <si>
    <t>ORD0042</t>
  </si>
  <si>
    <t>ORD0043</t>
  </si>
  <si>
    <t>CUST1174</t>
  </si>
  <si>
    <t>Customer 1174</t>
  </si>
  <si>
    <t>ORD0044</t>
  </si>
  <si>
    <t>CUST1010</t>
  </si>
  <si>
    <t>Customer 1010</t>
  </si>
  <si>
    <t>ORD0045</t>
  </si>
  <si>
    <t>CUST1099</t>
  </si>
  <si>
    <t>Customer 1099</t>
  </si>
  <si>
    <t>ORD0046</t>
  </si>
  <si>
    <t>CUST1094</t>
  </si>
  <si>
    <t>Customer 1094</t>
  </si>
  <si>
    <t>ORD0047</t>
  </si>
  <si>
    <t>CUST1171</t>
  </si>
  <si>
    <t>Customer 1171</t>
  </si>
  <si>
    <t>ORD0048</t>
  </si>
  <si>
    <t>ORD0049</t>
  </si>
  <si>
    <t>CUST1074</t>
  </si>
  <si>
    <t>Customer 1074</t>
  </si>
  <si>
    <t>ORD0050</t>
  </si>
  <si>
    <t>CUST1131</t>
  </si>
  <si>
    <t>Customer 1131</t>
  </si>
  <si>
    <t>ORD0051</t>
  </si>
  <si>
    <t>ORD0052</t>
  </si>
  <si>
    <t>CUST1122</t>
  </si>
  <si>
    <t>Customer 1122</t>
  </si>
  <si>
    <t>ORD0053</t>
  </si>
  <si>
    <t>CUST1038</t>
  </si>
  <si>
    <t>Customer 1038</t>
  </si>
  <si>
    <t>ORD0054</t>
  </si>
  <si>
    <t>CUST1143</t>
  </si>
  <si>
    <t>Customer 1143</t>
  </si>
  <si>
    <t>ORD0055</t>
  </si>
  <si>
    <t>CUST1244</t>
  </si>
  <si>
    <t>Customer 1244</t>
  </si>
  <si>
    <t>ORD0056</t>
  </si>
  <si>
    <t>CUST1116</t>
  </si>
  <si>
    <t>Customer 1116</t>
  </si>
  <si>
    <t>ORD0057</t>
  </si>
  <si>
    <t>CUST1183</t>
  </si>
  <si>
    <t>Customer 1183</t>
  </si>
  <si>
    <t>ORD0058</t>
  </si>
  <si>
    <t>CUST1178</t>
  </si>
  <si>
    <t>Customer 1178</t>
  </si>
  <si>
    <t>ORD0059</t>
  </si>
  <si>
    <t>ORD0060</t>
  </si>
  <si>
    <t>CUST1242</t>
  </si>
  <si>
    <t>Customer 1242</t>
  </si>
  <si>
    <t>ORD0061</t>
  </si>
  <si>
    <t>CUST1125</t>
  </si>
  <si>
    <t>Customer 1125</t>
  </si>
  <si>
    <t>ORD0062</t>
  </si>
  <si>
    <t>CUST1233</t>
  </si>
  <si>
    <t>Customer 1233</t>
  </si>
  <si>
    <t>ORD0063</t>
  </si>
  <si>
    <t>CUST1067</t>
  </si>
  <si>
    <t>Customer 1067</t>
  </si>
  <si>
    <t>ORD0064</t>
  </si>
  <si>
    <t>CUST1214</t>
  </si>
  <si>
    <t>Customer 1214</t>
  </si>
  <si>
    <t>ORD0065</t>
  </si>
  <si>
    <t>CUST1194</t>
  </si>
  <si>
    <t>Customer 1194</t>
  </si>
  <si>
    <t>ORD0066</t>
  </si>
  <si>
    <t>CUST1145</t>
  </si>
  <si>
    <t>Customer 1145</t>
  </si>
  <si>
    <t>ORD0067</t>
  </si>
  <si>
    <t>CUST1247</t>
  </si>
  <si>
    <t>Customer 1247</t>
  </si>
  <si>
    <t>ORD0068</t>
  </si>
  <si>
    <t>CUST1027</t>
  </si>
  <si>
    <t>Customer 1027</t>
  </si>
  <si>
    <t>ORD0069</t>
  </si>
  <si>
    <t>CUST1018</t>
  </si>
  <si>
    <t>Customer 1018</t>
  </si>
  <si>
    <t>ORD0070</t>
  </si>
  <si>
    <t>CUST1182</t>
  </si>
  <si>
    <t>Customer 1182</t>
  </si>
  <si>
    <t>ORD0071</t>
  </si>
  <si>
    <t>CUST1112</t>
  </si>
  <si>
    <t>Customer 1112</t>
  </si>
  <si>
    <t>ORD0072</t>
  </si>
  <si>
    <t>CUST1193</t>
  </si>
  <si>
    <t>Customer 1193</t>
  </si>
  <si>
    <t>ORD0073</t>
  </si>
  <si>
    <t>CUST1055</t>
  </si>
  <si>
    <t>Customer 1055</t>
  </si>
  <si>
    <t>ORD0074</t>
  </si>
  <si>
    <t>ORD0075</t>
  </si>
  <si>
    <t>ORD0076</t>
  </si>
  <si>
    <t>ORD0077</t>
  </si>
  <si>
    <t>CUST1031</t>
  </si>
  <si>
    <t>Customer 1031</t>
  </si>
  <si>
    <t>ORD0078</t>
  </si>
  <si>
    <t>CUST1186</t>
  </si>
  <si>
    <t>Customer 1186</t>
  </si>
  <si>
    <t>ORD0079</t>
  </si>
  <si>
    <t>CUST1046</t>
  </si>
  <si>
    <t>Customer 1046</t>
  </si>
  <si>
    <t>ORD0080</t>
  </si>
  <si>
    <t>CUST1179</t>
  </si>
  <si>
    <t>Customer 1179</t>
  </si>
  <si>
    <t>ORD0081</t>
  </si>
  <si>
    <t>ORD0082</t>
  </si>
  <si>
    <t>CUST1148</t>
  </si>
  <si>
    <t>Customer 1148</t>
  </si>
  <si>
    <t>ORD0083</t>
  </si>
  <si>
    <t>CUST1156</t>
  </si>
  <si>
    <t>Customer 1156</t>
  </si>
  <si>
    <t>ORD0084</t>
  </si>
  <si>
    <t>CUST1079</t>
  </si>
  <si>
    <t>Customer 1079</t>
  </si>
  <si>
    <t>ORD0085</t>
  </si>
  <si>
    <t>ORD0086</t>
  </si>
  <si>
    <t>CUST1075</t>
  </si>
  <si>
    <t>Customer 1075</t>
  </si>
  <si>
    <t>ORD0087</t>
  </si>
  <si>
    <t>ORD0088</t>
  </si>
  <si>
    <t>CUST1153</t>
  </si>
  <si>
    <t>Customer 1153</t>
  </si>
  <si>
    <t>ORD0089</t>
  </si>
  <si>
    <t>ORD0090</t>
  </si>
  <si>
    <t>CUST1155</t>
  </si>
  <si>
    <t>Customer 1155</t>
  </si>
  <si>
    <t>ORD0091</t>
  </si>
  <si>
    <t>CUST1121</t>
  </si>
  <si>
    <t>Customer 1121</t>
  </si>
  <si>
    <t>ORD0092</t>
  </si>
  <si>
    <t>CUST1105</t>
  </si>
  <si>
    <t>Customer 1105</t>
  </si>
  <si>
    <t>ORD0093</t>
  </si>
  <si>
    <t>CUST1209</t>
  </si>
  <si>
    <t>Customer 1209</t>
  </si>
  <si>
    <t>ORD0094</t>
  </si>
  <si>
    <t>CUST1222</t>
  </si>
  <si>
    <t>Customer 1222</t>
  </si>
  <si>
    <t>ORD0095</t>
  </si>
  <si>
    <t>CUST1160</t>
  </si>
  <si>
    <t>Customer 1160</t>
  </si>
  <si>
    <t>ORD0096</t>
  </si>
  <si>
    <t>ORD0097</t>
  </si>
  <si>
    <t>CUST1142</t>
  </si>
  <si>
    <t>Customer 1142</t>
  </si>
  <si>
    <t>ORD0098</t>
  </si>
  <si>
    <t>CUST1107</t>
  </si>
  <si>
    <t>Customer 1107</t>
  </si>
  <si>
    <t>ORD0099</t>
  </si>
  <si>
    <t>ORD0100</t>
  </si>
  <si>
    <t>ORD0101</t>
  </si>
  <si>
    <t>CUST1239</t>
  </si>
  <si>
    <t>Customer 1239</t>
  </si>
  <si>
    <t>ORD0102</t>
  </si>
  <si>
    <t>CUST1191</t>
  </si>
  <si>
    <t>Customer 1191</t>
  </si>
  <si>
    <t>ORD0103</t>
  </si>
  <si>
    <t>CUST1223</t>
  </si>
  <si>
    <t>Customer 1223</t>
  </si>
  <si>
    <t>ORD0104</t>
  </si>
  <si>
    <t>CUST1020</t>
  </si>
  <si>
    <t>Customer 1020</t>
  </si>
  <si>
    <t>ORD0105</t>
  </si>
  <si>
    <t>CUST1245</t>
  </si>
  <si>
    <t>Customer 1245</t>
  </si>
  <si>
    <t>ORD0106</t>
  </si>
  <si>
    <t>CUST1059</t>
  </si>
  <si>
    <t>Customer 1059</t>
  </si>
  <si>
    <t>electronics</t>
  </si>
  <si>
    <t>ORD0107</t>
  </si>
  <si>
    <t>CUST1232</t>
  </si>
  <si>
    <t>Customer 1232</t>
  </si>
  <si>
    <t>ORD0108</t>
  </si>
  <si>
    <t>ORD0109</t>
  </si>
  <si>
    <t>CUST1128</t>
  </si>
  <si>
    <t>Customer 1128</t>
  </si>
  <si>
    <t>ORD0110</t>
  </si>
  <si>
    <t>CUST1231</t>
  </si>
  <si>
    <t>Customer 1231</t>
  </si>
  <si>
    <t>ORD0111</t>
  </si>
  <si>
    <t>CUST1164</t>
  </si>
  <si>
    <t>Customer 1164</t>
  </si>
  <si>
    <t>ORD0112</t>
  </si>
  <si>
    <t>CUST1061</t>
  </si>
  <si>
    <t>Customer 1061</t>
  </si>
  <si>
    <t>ORD0113</t>
  </si>
  <si>
    <t>ORD0114</t>
  </si>
  <si>
    <t>CUST1057</t>
  </si>
  <si>
    <t>Customer 1057</t>
  </si>
  <si>
    <t>ORD0115</t>
  </si>
  <si>
    <t>CUST1009</t>
  </si>
  <si>
    <t>Customer 1009</t>
  </si>
  <si>
    <t>ORD0116</t>
  </si>
  <si>
    <t>CUST1034</t>
  </si>
  <si>
    <t>Customer 1034</t>
  </si>
  <si>
    <t>ORD0117</t>
  </si>
  <si>
    <t>CUST1192</t>
  </si>
  <si>
    <t>Customer 1192</t>
  </si>
  <si>
    <t>ORD0118</t>
  </si>
  <si>
    <t>ORD0119</t>
  </si>
  <si>
    <t>CUST1150</t>
  </si>
  <si>
    <t>Customer 1150</t>
  </si>
  <si>
    <t>ORD0120</t>
  </si>
  <si>
    <t>CUST1235</t>
  </si>
  <si>
    <t>Customer 1235</t>
  </si>
  <si>
    <t>ORD0121</t>
  </si>
  <si>
    <t>ORD0122</t>
  </si>
  <si>
    <t>CUST1117</t>
  </si>
  <si>
    <t>Customer 1117</t>
  </si>
  <si>
    <t>ORD0123</t>
  </si>
  <si>
    <t>ORD0124</t>
  </si>
  <si>
    <t>CUST1176</t>
  </si>
  <si>
    <t>Customer 1176</t>
  </si>
  <si>
    <t>ORD0125</t>
  </si>
  <si>
    <t>ORD0126</t>
  </si>
  <si>
    <t>ORD0127</t>
  </si>
  <si>
    <t>CUST1071</t>
  </si>
  <si>
    <t>Customer 1071</t>
  </si>
  <si>
    <t>ORD0128</t>
  </si>
  <si>
    <t>ORD0129</t>
  </si>
  <si>
    <t>CUST1190</t>
  </si>
  <si>
    <t>Customer 1190</t>
  </si>
  <si>
    <t>ORD0130</t>
  </si>
  <si>
    <t>ORD0131</t>
  </si>
  <si>
    <t>CUST1217</t>
  </si>
  <si>
    <t>Customer 1217</t>
  </si>
  <si>
    <t>ORD0132</t>
  </si>
  <si>
    <t>CUST1017</t>
  </si>
  <si>
    <t>Customer 1017</t>
  </si>
  <si>
    <t>ORD0133</t>
  </si>
  <si>
    <t>ORD0134</t>
  </si>
  <si>
    <t>CUST1228</t>
  </si>
  <si>
    <t>Customer 1228</t>
  </si>
  <si>
    <t>ORD0135</t>
  </si>
  <si>
    <t>ORD0136</t>
  </si>
  <si>
    <t>ORD0137</t>
  </si>
  <si>
    <t>ORD0138</t>
  </si>
  <si>
    <t>ORD0139</t>
  </si>
  <si>
    <t>CUST1207</t>
  </si>
  <si>
    <t>Customer 1207</t>
  </si>
  <si>
    <t>ORD0140</t>
  </si>
  <si>
    <t>CUST1070</t>
  </si>
  <si>
    <t>Customer 1070</t>
  </si>
  <si>
    <t>ORD0141</t>
  </si>
  <si>
    <t>ORD0142</t>
  </si>
  <si>
    <t>ORD0143</t>
  </si>
  <si>
    <t>ORD0144</t>
  </si>
  <si>
    <t>CUST1089</t>
  </si>
  <si>
    <t>Customer 1089</t>
  </si>
  <si>
    <t>ORD0145</t>
  </si>
  <si>
    <t>CUST1002</t>
  </si>
  <si>
    <t>Customer 1002</t>
  </si>
  <si>
    <t>ORD0146</t>
  </si>
  <si>
    <t>ORD0147</t>
  </si>
  <si>
    <t>ORD0148</t>
  </si>
  <si>
    <t>CUST1147</t>
  </si>
  <si>
    <t>Customer 1147</t>
  </si>
  <si>
    <t>ORD0149</t>
  </si>
  <si>
    <t>CUST1206</t>
  </si>
  <si>
    <t>Customer 1206</t>
  </si>
  <si>
    <t>ORD0150</t>
  </si>
  <si>
    <t>CUST1135</t>
  </si>
  <si>
    <t>Customer 1135</t>
  </si>
  <si>
    <t>ORD0151</t>
  </si>
  <si>
    <t>ORD0152</t>
  </si>
  <si>
    <t>CUST1051</t>
  </si>
  <si>
    <t>Customer 1051</t>
  </si>
  <si>
    <t>ORD0153</t>
  </si>
  <si>
    <t>CUST1175</t>
  </si>
  <si>
    <t>Customer 1175</t>
  </si>
  <si>
    <t>ORD0154</t>
  </si>
  <si>
    <t>CUST1114</t>
  </si>
  <si>
    <t>Customer 1114</t>
  </si>
  <si>
    <t>ORD0155</t>
  </si>
  <si>
    <t>ORD0156</t>
  </si>
  <si>
    <t>CUST1119</t>
  </si>
  <si>
    <t>Customer 1119</t>
  </si>
  <si>
    <t>ORD0157</t>
  </si>
  <si>
    <t>CUST1246</t>
  </si>
  <si>
    <t>Customer 1246</t>
  </si>
  <si>
    <t>ORD0158</t>
  </si>
  <si>
    <t>ORD0159</t>
  </si>
  <si>
    <t>ORD0160</t>
  </si>
  <si>
    <t>CUST1073</t>
  </si>
  <si>
    <t>Customer 1073</t>
  </si>
  <si>
    <t>ORD0161</t>
  </si>
  <si>
    <t>ORD0162</t>
  </si>
  <si>
    <t>ORD0163</t>
  </si>
  <si>
    <t>CUST1080</t>
  </si>
  <si>
    <t>Customer 1080</t>
  </si>
  <si>
    <t>ORD0164</t>
  </si>
  <si>
    <t>CUST1076</t>
  </si>
  <si>
    <t>Customer 1076</t>
  </si>
  <si>
    <t>ORD0165</t>
  </si>
  <si>
    <t>ORD0166</t>
  </si>
  <si>
    <t>ORD0167</t>
  </si>
  <si>
    <t>ORD0168</t>
  </si>
  <si>
    <t>CUST1210</t>
  </si>
  <si>
    <t>Customer 1210</t>
  </si>
  <si>
    <t>ORD0169</t>
  </si>
  <si>
    <t>ORD0170</t>
  </si>
  <si>
    <t>ORD0171</t>
  </si>
  <si>
    <t>ORD0172</t>
  </si>
  <si>
    <t>ORD0173</t>
  </si>
  <si>
    <t>ORD0174</t>
  </si>
  <si>
    <t>CUST1032</t>
  </si>
  <si>
    <t>Customer 1032</t>
  </si>
  <si>
    <t>ORD0175</t>
  </si>
  <si>
    <t>CUST1162</t>
  </si>
  <si>
    <t>Customer 1162</t>
  </si>
  <si>
    <t>ORD0176</t>
  </si>
  <si>
    <t>ORD0177</t>
  </si>
  <si>
    <t>CUST1100</t>
  </si>
  <si>
    <t>Customer 1100</t>
  </si>
  <si>
    <t>ORD0178</t>
  </si>
  <si>
    <t>CUST1062</t>
  </si>
  <si>
    <t>Customer 1062</t>
  </si>
  <si>
    <t>ORD0179</t>
  </si>
  <si>
    <t>ORD0180</t>
  </si>
  <si>
    <t>ORD0181</t>
  </si>
  <si>
    <t>CUST1065</t>
  </si>
  <si>
    <t>Customer 1065</t>
  </si>
  <si>
    <t>ORD0182</t>
  </si>
  <si>
    <t>CUST1205</t>
  </si>
  <si>
    <t>Customer 1205</t>
  </si>
  <si>
    <t>ORD0183</t>
  </si>
  <si>
    <t>CUST1095</t>
  </si>
  <si>
    <t>Customer 1095</t>
  </si>
  <si>
    <t>ORD0184</t>
  </si>
  <si>
    <t>CUST1140</t>
  </si>
  <si>
    <t>Customer 1140</t>
  </si>
  <si>
    <t>ORD0185</t>
  </si>
  <si>
    <t>ORD0186</t>
  </si>
  <si>
    <t>ORD0187</t>
  </si>
  <si>
    <t>ORD0188</t>
  </si>
  <si>
    <t>ORD0189</t>
  </si>
  <si>
    <t>ORD0190</t>
  </si>
  <si>
    <t>CUST1234</t>
  </si>
  <si>
    <t>Customer 1234</t>
  </si>
  <si>
    <t>ORD0191</t>
  </si>
  <si>
    <t>CUST1052</t>
  </si>
  <si>
    <t>Customer 1052</t>
  </si>
  <si>
    <t>ORD0192</t>
  </si>
  <si>
    <t>ORD0193</t>
  </si>
  <si>
    <t>ORD0194</t>
  </si>
  <si>
    <t>CUST1120</t>
  </si>
  <si>
    <t>Customer 1120</t>
  </si>
  <si>
    <t>ORD0195</t>
  </si>
  <si>
    <t>ORD0196</t>
  </si>
  <si>
    <t>ORD0197</t>
  </si>
  <si>
    <t>ORD0198</t>
  </si>
  <si>
    <t>ORD0199</t>
  </si>
  <si>
    <t>ORD0200</t>
  </si>
  <si>
    <t>CUST1212</t>
  </si>
  <si>
    <t>Customer 1212</t>
  </si>
  <si>
    <t>ORD0201</t>
  </si>
  <si>
    <t>ORD0202</t>
  </si>
  <si>
    <t>CUST1077</t>
  </si>
  <si>
    <t>Customer 1077</t>
  </si>
  <si>
    <t>ORD0203</t>
  </si>
  <si>
    <t>CUST1088</t>
  </si>
  <si>
    <t>Customer 1088</t>
  </si>
  <si>
    <t>ORD0204</t>
  </si>
  <si>
    <t>CUST1082</t>
  </si>
  <si>
    <t>Customer 1082</t>
  </si>
  <si>
    <t>ORD0205</t>
  </si>
  <si>
    <t>CUST1243</t>
  </si>
  <si>
    <t>Customer 1243</t>
  </si>
  <si>
    <t>ORD0206</t>
  </si>
  <si>
    <t>CUST1196</t>
  </si>
  <si>
    <t>Customer 1196</t>
  </si>
  <si>
    <t>ORD0207</t>
  </si>
  <si>
    <t>CUST1130</t>
  </si>
  <si>
    <t>Customer 1130</t>
  </si>
  <si>
    <t>ORD0208</t>
  </si>
  <si>
    <t>ORD0209</t>
  </si>
  <si>
    <t>CUST1187</t>
  </si>
  <si>
    <t>Customer 1187</t>
  </si>
  <si>
    <t>ORD0210</t>
  </si>
  <si>
    <t>ORD0211</t>
  </si>
  <si>
    <t>CUST1033</t>
  </si>
  <si>
    <t>Customer 1033</t>
  </si>
  <si>
    <t>ORD0212</t>
  </si>
  <si>
    <t>ORD0213</t>
  </si>
  <si>
    <t>ORD0214</t>
  </si>
  <si>
    <t>CUST1152</t>
  </si>
  <si>
    <t>Customer 1152</t>
  </si>
  <si>
    <t>ORD0215</t>
  </si>
  <si>
    <t>ORD0216</t>
  </si>
  <si>
    <t>CUST1185</t>
  </si>
  <si>
    <t>Customer 1185</t>
  </si>
  <si>
    <t>ORD0217</t>
  </si>
  <si>
    <t>CUST1049</t>
  </si>
  <si>
    <t>Customer 1049</t>
  </si>
  <si>
    <t>ORD0218</t>
  </si>
  <si>
    <t>CUST1224</t>
  </si>
  <si>
    <t>Customer 1224</t>
  </si>
  <si>
    <t>ORD0219</t>
  </si>
  <si>
    <t>CUST1170</t>
  </si>
  <si>
    <t>Customer 1170</t>
  </si>
  <si>
    <t>ORD0220</t>
  </si>
  <si>
    <t>ORD0221</t>
  </si>
  <si>
    <t>CUST1058</t>
  </si>
  <si>
    <t>Customer 1058</t>
  </si>
  <si>
    <t>ORD0222</t>
  </si>
  <si>
    <t>ORD0223</t>
  </si>
  <si>
    <t>ORD0224</t>
  </si>
  <si>
    <t>ORD0225</t>
  </si>
  <si>
    <t>CUST1063</t>
  </si>
  <si>
    <t>Customer 1063</t>
  </si>
  <si>
    <t>ORD0226</t>
  </si>
  <si>
    <t>ORD0227</t>
  </si>
  <si>
    <t>ORD0228</t>
  </si>
  <si>
    <t>ORD0229</t>
  </si>
  <si>
    <t>CUST1003</t>
  </si>
  <si>
    <t>Customer 1003</t>
  </si>
  <si>
    <t>ORD0230</t>
  </si>
  <si>
    <t>ORD0231</t>
  </si>
  <si>
    <t>CUST1166</t>
  </si>
  <si>
    <t>Customer 1166</t>
  </si>
  <si>
    <t>ORD0232</t>
  </si>
  <si>
    <t>CUST1045</t>
  </si>
  <si>
    <t>Customer 1045</t>
  </si>
  <si>
    <t>ORD0233</t>
  </si>
  <si>
    <t>CUST1048</t>
  </si>
  <si>
    <t>Customer 1048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</si>
  <si>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</si>
  <si>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</si>
  <si>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</si>
  <si>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</si>
  <si>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</si>
  <si>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</si>
  <si>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</si>
  <si>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</si>
  <si>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</si>
  <si>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</si>
  <si>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</si>
  <si>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</si>
  <si>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</si>
  <si>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CUST1211</t>
  </si>
  <si>
    <t>Customer 1211</t>
  </si>
  <si>
    <t>ORD0247</t>
  </si>
  <si>
    <t>CUST1158</t>
  </si>
  <si>
    <t>Customer 1158</t>
  </si>
  <si>
    <t>ORD0248</t>
  </si>
  <si>
    <t>ORD0249</t>
  </si>
  <si>
    <t>ORD0250</t>
  </si>
  <si>
    <t>ORD0251</t>
  </si>
  <si>
    <t>CUST1161</t>
  </si>
  <si>
    <t>Customer 1161</t>
  </si>
  <si>
    <t>ORD0252</t>
  </si>
  <si>
    <t>ORD0253</t>
  </si>
  <si>
    <t>ORD0254</t>
  </si>
  <si>
    <t>ORD0255</t>
  </si>
  <si>
    <t>CUST1069</t>
  </si>
  <si>
    <t>Customer 1069</t>
  </si>
  <si>
    <t>ORD0256</t>
  </si>
  <si>
    <t>CUST1123</t>
  </si>
  <si>
    <t>Customer 1123</t>
  </si>
  <si>
    <t>ORD0257</t>
  </si>
  <si>
    <t>ORD0258</t>
  </si>
  <si>
    <t>ORD0259</t>
  </si>
  <si>
    <t>CUST1081</t>
  </si>
  <si>
    <t>Customer 1081</t>
  </si>
  <si>
    <t>ORD0260</t>
  </si>
  <si>
    <t>ORD0261</t>
  </si>
  <si>
    <t>CUST1066</t>
  </si>
  <si>
    <t>Customer 1066</t>
  </si>
  <si>
    <t>ORD0262</t>
  </si>
  <si>
    <t>ORD0263</t>
  </si>
  <si>
    <t>ORD0264</t>
  </si>
  <si>
    <t>CUST1096</t>
  </si>
  <si>
    <t>Customer 1096</t>
  </si>
  <si>
    <t>ORD0265</t>
  </si>
  <si>
    <t>CUST1004</t>
  </si>
  <si>
    <t>Customer 1004</t>
  </si>
  <si>
    <t>ORD0266</t>
  </si>
  <si>
    <t>ORD0267</t>
  </si>
  <si>
    <t>ORD0268</t>
  </si>
  <si>
    <t>ORD0269</t>
  </si>
  <si>
    <t>CUST1015</t>
  </si>
  <si>
    <t>Customer 1015</t>
  </si>
  <si>
    <t>ORD0270</t>
  </si>
  <si>
    <t>CUST1230</t>
  </si>
  <si>
    <t>Customer 1230</t>
  </si>
  <si>
    <t>ORD0271</t>
  </si>
  <si>
    <t>ORD0272</t>
  </si>
  <si>
    <t>ORD0273</t>
  </si>
  <si>
    <t>ORD0274</t>
  </si>
  <si>
    <t>CUST1026</t>
  </si>
  <si>
    <t>Customer 1026</t>
  </si>
  <si>
    <t>ORD0275</t>
  </si>
  <si>
    <t>CUST1201</t>
  </si>
  <si>
    <t>Customer 1201</t>
  </si>
  <si>
    <t>ORD0276</t>
  </si>
  <si>
    <t>ORD0277</t>
  </si>
  <si>
    <t>ORD0278</t>
  </si>
  <si>
    <t>ORD0279</t>
  </si>
  <si>
    <t>ORD0280</t>
  </si>
  <si>
    <t>ORD0281</t>
  </si>
  <si>
    <t>CUST1078</t>
  </si>
  <si>
    <t>Customer 1078</t>
  </si>
  <si>
    <t>ORD0282</t>
  </si>
  <si>
    <t>ORD0283</t>
  </si>
  <si>
    <t>CUST1028</t>
  </si>
  <si>
    <t>Customer 1028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</si>
  <si>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</si>
  <si>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</si>
  <si>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</si>
  <si>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</si>
  <si>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</si>
  <si>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</si>
  <si>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</si>
  <si>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</si>
  <si>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</si>
  <si>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CUST1198</t>
  </si>
  <si>
    <t>Customer 1198</t>
  </si>
  <si>
    <t>ORD0293</t>
  </si>
  <si>
    <t>ORD0294</t>
  </si>
  <si>
    <t>ORD0295</t>
  </si>
  <si>
    <t>ORD0296</t>
  </si>
  <si>
    <t>ORD0297</t>
  </si>
  <si>
    <t>ORD0298</t>
  </si>
  <si>
    <t>CUST1053</t>
  </si>
  <si>
    <t>Customer 1053</t>
  </si>
  <si>
    <t>ORD0299</t>
  </si>
  <si>
    <t>ORD0300</t>
  </si>
  <si>
    <t>ORD0301</t>
  </si>
  <si>
    <t>ORD0302</t>
  </si>
  <si>
    <t>ORD0303</t>
  </si>
  <si>
    <t>ORD0304</t>
  </si>
  <si>
    <t>ORD0305</t>
  </si>
  <si>
    <t>CUST1126</t>
  </si>
  <si>
    <t>Customer 1126</t>
  </si>
  <si>
    <t>ORD0306</t>
  </si>
  <si>
    <t>CUST1044</t>
  </si>
  <si>
    <t>Customer 1044</t>
  </si>
  <si>
    <t>ORD0307</t>
  </si>
  <si>
    <t>CUST1139</t>
  </si>
  <si>
    <t>Customer 1139</t>
  </si>
  <si>
    <t>ORD0308</t>
  </si>
  <si>
    <t>ORD0309</t>
  </si>
  <si>
    <t>CUST1054</t>
  </si>
  <si>
    <t>Customer 1054</t>
  </si>
  <si>
    <t>ORD0310</t>
  </si>
  <si>
    <t>ORD0311</t>
  </si>
  <si>
    <t>CUST1181</t>
  </si>
  <si>
    <t>Customer 1181</t>
  </si>
  <si>
    <t>ORD0312</t>
  </si>
  <si>
    <t>ORD0313</t>
  </si>
  <si>
    <t>ORD0314</t>
  </si>
  <si>
    <t>CUST1104</t>
  </si>
  <si>
    <t>Customer 1104</t>
  </si>
  <si>
    <t>ORD0315</t>
  </si>
  <si>
    <t>CUST1188</t>
  </si>
  <si>
    <t>Customer 1188</t>
  </si>
  <si>
    <t>ORD0316</t>
  </si>
  <si>
    <t>ORD0317</t>
  </si>
  <si>
    <t>ORD0318</t>
  </si>
  <si>
    <t>ORD0319</t>
  </si>
  <si>
    <t>ORD0320</t>
  </si>
  <si>
    <t>ORD0321</t>
  </si>
  <si>
    <t>ORD0322</t>
  </si>
  <si>
    <t>CUST1023</t>
  </si>
  <si>
    <t>Customer 1023</t>
  </si>
  <si>
    <t>ORD0323</t>
  </si>
  <si>
    <t>CUST1165</t>
  </si>
  <si>
    <t>Customer 1165</t>
  </si>
  <si>
    <t>ORD0324</t>
  </si>
  <si>
    <t>ORD0325</t>
  </si>
  <si>
    <t>ORD0326</t>
  </si>
  <si>
    <t>ORD0327</t>
  </si>
  <si>
    <t>ORD0328</t>
  </si>
  <si>
    <t>ORD0329</t>
  </si>
  <si>
    <t>ORD0330</t>
  </si>
  <si>
    <t>CUST1056</t>
  </si>
  <si>
    <t>Customer 1056</t>
  </si>
  <si>
    <t>ORD0331</t>
  </si>
  <si>
    <t>ORD0332</t>
  </si>
  <si>
    <t>ORD0333</t>
  </si>
  <si>
    <t>ORD0334</t>
  </si>
  <si>
    <t>ORD0335</t>
  </si>
  <si>
    <t>ORD0336</t>
  </si>
  <si>
    <t>CUST1068</t>
  </si>
  <si>
    <t>Customer 1068</t>
  </si>
  <si>
    <t>ORD0337</t>
  </si>
  <si>
    <t>CUST1220</t>
  </si>
  <si>
    <t>Customer 1220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</si>
  <si>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</si>
  <si>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</si>
  <si>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</si>
  <si>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</si>
  <si>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</si>
  <si>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</si>
  <si>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</si>
  <si>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</si>
  <si>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</si>
  <si>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</si>
  <si>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</si>
  <si>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</si>
  <si>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CUST1035</t>
  </si>
  <si>
    <t>Customer 1035</t>
  </si>
  <si>
    <t>ORD0350</t>
  </si>
  <si>
    <t>ORD0351</t>
  </si>
  <si>
    <t>ORD0352</t>
  </si>
  <si>
    <t>CUST1248</t>
  </si>
  <si>
    <t>Customer 1248</t>
  </si>
  <si>
    <t>ORD0353</t>
  </si>
  <si>
    <t>CUST1219</t>
  </si>
  <si>
    <t>Customer 1219</t>
  </si>
  <si>
    <t>ORD0354</t>
  </si>
  <si>
    <t>ORD0355</t>
  </si>
  <si>
    <t>ORD0356</t>
  </si>
  <si>
    <t>CUST1011</t>
  </si>
  <si>
    <t>Customer 1011</t>
  </si>
  <si>
    <t>ORD0357</t>
  </si>
  <si>
    <t>ORD0358</t>
  </si>
  <si>
    <t>ORD0359</t>
  </si>
  <si>
    <t>ORD0360</t>
  </si>
  <si>
    <t>ORD0361</t>
  </si>
  <si>
    <t>ORD0362</t>
  </si>
  <si>
    <t>ORD0363</t>
  </si>
  <si>
    <t>CUST1240</t>
  </si>
  <si>
    <t>Customer 1240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</si>
  <si>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</si>
  <si>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</si>
  <si>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</si>
  <si>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</si>
  <si>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</si>
  <si>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</si>
  <si>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</si>
  <si>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</si>
  <si>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CUST1047</t>
  </si>
  <si>
    <t>Customer 1047</t>
  </si>
  <si>
    <t>ORD0372</t>
  </si>
  <si>
    <t>ORD0373</t>
  </si>
  <si>
    <t>ORD0374</t>
  </si>
  <si>
    <t>ORD0375</t>
  </si>
  <si>
    <t>ORD0376</t>
  </si>
  <si>
    <t>ORD0377</t>
  </si>
  <si>
    <t>CUST1087</t>
  </si>
  <si>
    <t>Customer 1087</t>
  </si>
  <si>
    <t>ORD0378</t>
  </si>
  <si>
    <t>ORD0379</t>
  </si>
  <si>
    <t>ORD0380</t>
  </si>
  <si>
    <t>CUST1110</t>
  </si>
  <si>
    <t>Customer 1110</t>
  </si>
  <si>
    <t>ORD0381</t>
  </si>
  <si>
    <t>ORD0382</t>
  </si>
  <si>
    <t>ORD0383</t>
  </si>
  <si>
    <t>ORD0384</t>
  </si>
  <si>
    <t>ORD0385</t>
  </si>
  <si>
    <t>ORD0386</t>
  </si>
  <si>
    <t>ORD0387</t>
  </si>
  <si>
    <t>CUST1021</t>
  </si>
  <si>
    <t>Customer 1021</t>
  </si>
  <si>
    <t>ORD0388</t>
  </si>
  <si>
    <t>ORD0389</t>
  </si>
  <si>
    <t>CUST1029</t>
  </si>
  <si>
    <t>Customer 1029</t>
  </si>
  <si>
    <t>ORD0390</t>
  </si>
  <si>
    <t>ORD0391</t>
  </si>
  <si>
    <t>ORD0392</t>
  </si>
  <si>
    <t>CUST1013</t>
  </si>
  <si>
    <t>Customer 1013</t>
  </si>
  <si>
    <t>ORD0393</t>
  </si>
  <si>
    <t>ORD0394</t>
  </si>
  <si>
    <t>ORD0395</t>
  </si>
  <si>
    <t>CUST1132</t>
  </si>
  <si>
    <t>Customer 1132</t>
  </si>
  <si>
    <t>ORD0396</t>
  </si>
  <si>
    <t>ORD0397</t>
  </si>
  <si>
    <t>ORD0398</t>
  </si>
  <si>
    <t>ORD0399</t>
  </si>
  <si>
    <t>ORD0400</t>
  </si>
  <si>
    <t>ORD0401</t>
  </si>
  <si>
    <t>ORD0402</t>
  </si>
  <si>
    <t>CUST1118</t>
  </si>
  <si>
    <t>Customer 1118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</si>
  <si>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</si>
  <si>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</si>
  <si>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</si>
  <si>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</si>
  <si>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</si>
  <si>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</si>
  <si>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</si>
  <si>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</si>
  <si>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</si>
  <si>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</si>
  <si>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</si>
  <si>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CUST1221</t>
  </si>
  <si>
    <t>Customer 1221</t>
  </si>
  <si>
    <t>ORD0414</t>
  </si>
  <si>
    <t>ORD0415</t>
  </si>
  <si>
    <t>CUST1163</t>
  </si>
  <si>
    <t>Customer 1163</t>
  </si>
  <si>
    <t>ORD0416</t>
  </si>
  <si>
    <t>ORD0417</t>
  </si>
  <si>
    <t>ORD0418</t>
  </si>
  <si>
    <t>ORD0419</t>
  </si>
  <si>
    <t>CUST1092</t>
  </si>
  <si>
    <t>Customer 1092</t>
  </si>
  <si>
    <t>ORD0420</t>
  </si>
  <si>
    <t>ORD0421</t>
  </si>
  <si>
    <t>ORD0422</t>
  </si>
  <si>
    <t>ORD0423</t>
  </si>
  <si>
    <t>ORD0424</t>
  </si>
  <si>
    <t>ORD0425</t>
  </si>
  <si>
    <t>ORD0426</t>
  </si>
  <si>
    <t>CUST1001</t>
  </si>
  <si>
    <t>Customer 1001</t>
  </si>
  <si>
    <t>ORD0427</t>
  </si>
  <si>
    <t>ORD0428</t>
  </si>
  <si>
    <t>ORD0429</t>
  </si>
  <si>
    <t>ORD0430</t>
  </si>
  <si>
    <t>ORD0431</t>
  </si>
  <si>
    <t>ORD0432</t>
  </si>
  <si>
    <t>ORD0433</t>
  </si>
  <si>
    <t>CUST1124</t>
  </si>
  <si>
    <t>Customer 1124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</si>
  <si>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</si>
  <si>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</si>
  <si>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</si>
  <si>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</si>
  <si>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</si>
  <si>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</si>
  <si>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</si>
  <si>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</si>
  <si>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</si>
  <si>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CUST1195</t>
  </si>
  <si>
    <t>Customer 1195</t>
  </si>
  <si>
    <t>ORD0443</t>
  </si>
  <si>
    <t>ORD0444</t>
  </si>
  <si>
    <t>ORD0445</t>
  </si>
  <si>
    <t>CUST1238</t>
  </si>
  <si>
    <t>Customer 1238</t>
  </si>
  <si>
    <t>ORD0446</t>
  </si>
  <si>
    <t>ORD0447</t>
  </si>
  <si>
    <t>ORD0448</t>
  </si>
  <si>
    <t>ORD0449</t>
  </si>
  <si>
    <t>ORD0450</t>
  </si>
  <si>
    <t>ORD0451</t>
  </si>
  <si>
    <t>ORD0452</t>
  </si>
  <si>
    <t>CUST1134</t>
  </si>
  <si>
    <t>Customer 1134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</si>
  <si>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</si>
  <si>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</si>
  <si>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</si>
  <si>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</si>
  <si>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</si>
  <si>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</si>
  <si>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</si>
  <si>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</si>
  <si>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</si>
  <si>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</si>
  <si>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</si>
  <si>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</si>
  <si>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</si>
  <si>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CUST1083</t>
  </si>
  <si>
    <t>Customer 1083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</si>
  <si>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</si>
  <si>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</si>
  <si>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</si>
  <si>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</si>
  <si>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</si>
  <si>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</si>
  <si>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</si>
  <si>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</si>
  <si>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CUST1138</t>
  </si>
  <si>
    <t>Customer 1138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</si>
  <si>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</si>
  <si>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</si>
  <si>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</si>
  <si>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</si>
  <si>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</si>
  <si>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</si>
  <si>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</si>
  <si>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</si>
  <si>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CUST1218</t>
  </si>
  <si>
    <t>Customer 1218</t>
  </si>
  <si>
    <t>ORD0482</t>
  </si>
  <si>
    <t>ORD0483</t>
  </si>
  <si>
    <t>ORD0484</t>
  </si>
  <si>
    <t>ORD0485</t>
  </si>
  <si>
    <t>CUST1189</t>
  </si>
  <si>
    <t>Customer 1189</t>
  </si>
  <si>
    <t>ORD0486</t>
  </si>
  <si>
    <t>ORD0487</t>
  </si>
  <si>
    <t>CUST1167</t>
  </si>
  <si>
    <t>Customer 1167</t>
  </si>
  <si>
    <t>ORD0488</t>
  </si>
  <si>
    <t>CUST1097</t>
  </si>
  <si>
    <t>Customer 1097</t>
  </si>
  <si>
    <t>ORD0489</t>
  </si>
  <si>
    <t>CUST1133</t>
  </si>
  <si>
    <t>Customer 1133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</si>
  <si>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</si>
  <si>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</si>
  <si>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</si>
  <si>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</si>
  <si>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</si>
  <si>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</si>
  <si>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</si>
  <si>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</si>
  <si>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</si>
  <si>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</si>
  <si>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</si>
  <si>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</si>
  <si>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CUST1197</t>
  </si>
  <si>
    <t>Customer 1197</t>
  </si>
  <si>
    <t>ORD0502</t>
  </si>
  <si>
    <t>ORD0503</t>
  </si>
  <si>
    <t xml:space="preserve">Consumer </t>
  </si>
  <si>
    <t>ORD0504</t>
  </si>
  <si>
    <t>ORD0505</t>
  </si>
  <si>
    <t>ORD0506</t>
  </si>
  <si>
    <t>ORD0507</t>
  </si>
  <si>
    <t>ORD0508</t>
  </si>
  <si>
    <t>ORD0509</t>
  </si>
  <si>
    <t>ORD0510</t>
  </si>
  <si>
    <t>CUST1050</t>
  </si>
  <si>
    <t>Customer 1050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</si>
  <si>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</si>
  <si>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</si>
  <si>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</si>
  <si>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</si>
  <si>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</si>
  <si>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</si>
  <si>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</si>
  <si>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</si>
  <si>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CUST1180</t>
  </si>
  <si>
    <t>Customer 1180</t>
  </si>
  <si>
    <t>ORD0519</t>
  </si>
  <si>
    <t>ORD0520</t>
  </si>
  <si>
    <t>ORD0521</t>
  </si>
  <si>
    <t>CUST1200</t>
  </si>
  <si>
    <t>Customer 1200</t>
  </si>
  <si>
    <t>ORD0522</t>
  </si>
  <si>
    <t>CUST1159</t>
  </si>
  <si>
    <t>Customer 1159</t>
  </si>
  <si>
    <t>ORD0523</t>
  </si>
  <si>
    <t>ORD0524</t>
  </si>
  <si>
    <t>CUST1101</t>
  </si>
  <si>
    <t>Customer 1101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</si>
  <si>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</si>
  <si>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</si>
  <si>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</si>
  <si>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</si>
  <si>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</si>
  <si>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</si>
  <si>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</si>
  <si>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</si>
  <si>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</si>
  <si>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</si>
  <si>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</si>
  <si>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</si>
  <si>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</si>
  <si>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CUST1106</t>
  </si>
  <si>
    <t>Customer 1106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</si>
  <si>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</si>
  <si>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</si>
  <si>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</si>
  <si>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</si>
  <si>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</si>
  <si>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</si>
  <si>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</si>
  <si>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</si>
  <si>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</si>
  <si>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</si>
  <si>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</si>
  <si>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</si>
  <si>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</si>
  <si>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</si>
  <si>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</si>
  <si>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CUST1085</t>
  </si>
  <si>
    <t>Customer 1085</t>
  </si>
  <si>
    <t>ORD0553</t>
  </si>
  <si>
    <t>ORD0554</t>
  </si>
  <si>
    <t>ORD0555</t>
  </si>
  <si>
    <t>ORD0556</t>
  </si>
  <si>
    <t>ORD0557</t>
  </si>
  <si>
    <t>CUST1084</t>
  </si>
  <si>
    <t>Customer 1084</t>
  </si>
  <si>
    <t>ORD0558</t>
  </si>
  <si>
    <t>CUST1177</t>
  </si>
  <si>
    <t>Customer 1177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</si>
  <si>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</si>
  <si>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</si>
  <si>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</si>
  <si>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</si>
  <si>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</si>
  <si>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</si>
  <si>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</si>
  <si>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</si>
  <si>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</si>
  <si>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</si>
  <si>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</si>
  <si>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</si>
  <si>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</si>
  <si>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</si>
  <si>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</si>
  <si>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CUST1137</t>
  </si>
  <si>
    <t>Customer 1137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</si>
  <si>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</si>
  <si>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</si>
  <si>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</si>
  <si>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</si>
  <si>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</si>
  <si>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</si>
  <si>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</si>
  <si>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</si>
  <si>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</si>
  <si>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</si>
  <si>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</si>
  <si>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CUST1141</t>
  </si>
  <si>
    <t>Customer 1141</t>
  </si>
  <si>
    <t>ORD0585</t>
  </si>
  <si>
    <t>ORD0586</t>
  </si>
  <si>
    <t>ORD0587</t>
  </si>
  <si>
    <t>ORD0588</t>
  </si>
  <si>
    <t>ORD0589</t>
  </si>
  <si>
    <t>ORD0590</t>
  </si>
  <si>
    <t>CUST1006</t>
  </si>
  <si>
    <t>Customer 1006</t>
  </si>
  <si>
    <t>ORD0591</t>
  </si>
  <si>
    <t>ORD0592</t>
  </si>
  <si>
    <t>ORD0593</t>
  </si>
  <si>
    <t>ORD0594</t>
  </si>
  <si>
    <t>ORD0595</t>
  </si>
  <si>
    <t>ORD0596</t>
  </si>
  <si>
    <t>CUST1005</t>
  </si>
  <si>
    <t>Customer 1005</t>
  </si>
  <si>
    <t>ORD0597</t>
  </si>
  <si>
    <t>ORD0598</t>
  </si>
  <si>
    <t>CUST1169</t>
  </si>
  <si>
    <t>Customer 1169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</si>
  <si>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</si>
  <si>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</si>
  <si>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</si>
  <si>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</si>
  <si>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</si>
  <si>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</si>
  <si>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</si>
  <si>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</si>
  <si>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</si>
  <si>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</si>
  <si>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CUST1157</t>
  </si>
  <si>
    <t>Customer 1157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</si>
  <si>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</si>
  <si>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</si>
  <si>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</si>
  <si>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</si>
  <si>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</si>
  <si>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</si>
  <si>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</si>
  <si>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</si>
  <si>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</si>
  <si>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</si>
  <si>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</si>
  <si>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</si>
  <si>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</si>
  <si>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CUST1168</t>
  </si>
  <si>
    <t>Customer 1168</t>
  </si>
  <si>
    <t>ORD0622</t>
  </si>
  <si>
    <t>ORD0623</t>
  </si>
  <si>
    <t>ORD0624</t>
  </si>
  <si>
    <t>ORD0625</t>
  </si>
  <si>
    <t>ORD0626</t>
  </si>
  <si>
    <t>ORD0627</t>
  </si>
  <si>
    <t>CUST1227</t>
  </si>
  <si>
    <t>Customer 1227</t>
  </si>
  <si>
    <t>ORD0628</t>
  </si>
  <si>
    <t>ORD0629</t>
  </si>
  <si>
    <t>ORD0630</t>
  </si>
  <si>
    <t>ORD0631</t>
  </si>
  <si>
    <t>ORD0632</t>
  </si>
  <si>
    <t>CUST1229</t>
  </si>
  <si>
    <t>Customer 1229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</si>
  <si>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</si>
  <si>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</si>
  <si>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</si>
  <si>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</si>
  <si>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</si>
  <si>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</si>
  <si>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</si>
  <si>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</si>
  <si>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CUST1086</t>
  </si>
  <si>
    <t>Customer 1086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</si>
  <si>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</si>
  <si>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</si>
  <si>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</si>
  <si>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</si>
  <si>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</si>
  <si>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</si>
  <si>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</si>
  <si>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</si>
  <si>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</si>
  <si>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</si>
  <si>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</si>
  <si>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</si>
  <si>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</si>
  <si>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</si>
  <si>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</si>
  <si>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</si>
  <si>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</si>
  <si>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CUST1236</t>
  </si>
  <si>
    <t>Customer 1236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</si>
  <si>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</si>
  <si>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</si>
  <si>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</si>
  <si>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</si>
  <si>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</si>
  <si>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</si>
  <si>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</si>
  <si>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</si>
  <si>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</si>
  <si>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</si>
  <si>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</si>
  <si>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</si>
  <si>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</si>
  <si>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</si>
  <si>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</si>
  <si>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</si>
  <si>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</si>
  <si>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</si>
  <si>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CUST1014</t>
  </si>
  <si>
    <t>Customer 1014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</si>
  <si>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</si>
  <si>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</si>
  <si>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</si>
  <si>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</si>
  <si>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</si>
  <si>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</si>
  <si>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</si>
  <si>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</si>
  <si>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</si>
  <si>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</si>
  <si>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</si>
  <si>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</si>
  <si>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</si>
  <si>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</si>
  <si>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</si>
  <si>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</si>
  <si>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</si>
  <si>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</si>
  <si>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</si>
  <si>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</si>
  <si>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</si>
  <si>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</si>
  <si>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</si>
  <si>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</si>
  <si>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</si>
  <si>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</si>
  <si>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</si>
  <si>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</si>
  <si>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</si>
  <si>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</si>
  <si>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</si>
  <si>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</si>
  <si>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</si>
  <si>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</si>
  <si>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</si>
  <si>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</si>
  <si>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</si>
  <si>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</si>
  <si>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</si>
  <si>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</si>
  <si>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</si>
  <si>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</si>
  <si>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</si>
  <si>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</si>
  <si>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</si>
  <si>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</si>
  <si>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</si>
  <si>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</si>
  <si>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CUST1202</t>
  </si>
  <si>
    <t>Customer 1202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</si>
  <si>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</si>
  <si>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</si>
  <si>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</si>
  <si>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</si>
  <si>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</si>
  <si>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</si>
  <si>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</si>
  <si>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</si>
  <si>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</si>
  <si>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</si>
  <si>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</si>
  <si>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</si>
  <si>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</si>
  <si>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</si>
  <si>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</si>
  <si>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</si>
  <si>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</si>
  <si>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</si>
  <si>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</si>
  <si>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</si>
  <si>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</si>
  <si>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</si>
  <si>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</si>
  <si>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</si>
  <si>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</si>
  <si>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</si>
  <si>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</si>
  <si>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CUST1008</t>
  </si>
  <si>
    <t>Customer 1008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</si>
  <si>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</si>
  <si>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</si>
  <si>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</si>
  <si>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</si>
  <si>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</si>
  <si>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</si>
  <si>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</si>
  <si>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</si>
  <si>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</si>
  <si>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</si>
  <si>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</si>
  <si>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</si>
  <si>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</si>
  <si>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</si>
  <si>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</si>
  <si>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</si>
  <si>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</si>
  <si>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</si>
  <si>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</si>
  <si>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</si>
  <si>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</si>
  <si>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</si>
  <si>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</si>
  <si>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</si>
  <si>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</si>
  <si>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</si>
  <si>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</si>
  <si>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</si>
  <si>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</si>
  <si>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</si>
  <si>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</si>
  <si>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</si>
  <si>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</si>
  <si>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</si>
  <si>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</si>
  <si>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</si>
  <si>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</si>
  <si>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</si>
  <si>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</si>
  <si>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</si>
  <si>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</si>
  <si>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</si>
  <si>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</si>
  <si>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CUST1172</t>
  </si>
  <si>
    <t>Customer 1172</t>
  </si>
  <si>
    <t>ORD0794</t>
  </si>
  <si>
    <t>ORD0795</t>
  </si>
  <si>
    <t>ORD0796</t>
  </si>
  <si>
    <t>ORD0797</t>
  </si>
  <si>
    <t>ORD0798</t>
  </si>
  <si>
    <t>ORD0799</t>
  </si>
  <si>
    <t>ORD0800</t>
  </si>
  <si>
    <t>Project Step</t>
  </si>
  <si>
    <t>What You Will Do</t>
  </si>
  <si>
    <t>1. Data Cleaning</t>
  </si>
  <si>
    <t>Find duplicates, blanks, inconsistent text, and invalid values.</t>
  </si>
  <si>
    <t>2. Excel Analysis</t>
  </si>
  <si>
    <t>Calculate KPIs, monthly trends, category/product performance.</t>
  </si>
  <si>
    <t>3. SQL Analysis</t>
  </si>
  <si>
    <t>Write queries for sales, profit, customers, products and regions.</t>
  </si>
  <si>
    <t>4. Power BI Dashboard</t>
  </si>
  <si>
    <t>Build interactive charts, cards, slicers and a dashboard.</t>
  </si>
  <si>
    <t>5. Business Insights</t>
  </si>
  <si>
    <t>Write clear conclusions and recommendations.</t>
  </si>
  <si>
    <t>Unknown</t>
  </si>
  <si>
    <t>KPI</t>
  </si>
  <si>
    <t>Value</t>
  </si>
  <si>
    <t>Total Sales</t>
  </si>
  <si>
    <t>Total Profit</t>
  </si>
  <si>
    <t>Total Quantity</t>
  </si>
  <si>
    <t>Total Orders</t>
  </si>
  <si>
    <t>Average Sales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</si>
  <si>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</si>
  <si>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</si>
  <si>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</si>
  <si>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</si>
  <si>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</si>
  <si>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</si>
  <si>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</si>
  <si>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</si>
  <si>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</si>
  <si>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</si>
  <si>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</si>
  <si>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</si>
  <si>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</si>
  <si>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</si>
  <si>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</si>
  <si>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Sum of Profit</t>
  </si>
  <si>
    <t>Count of Order_ID</t>
  </si>
  <si>
    <t>No.</t>
  </si>
  <si>
    <t>Highest Sales Month</t>
  </si>
  <si>
    <t>Lowest Sales Month</t>
  </si>
  <si>
    <t>Highest Sales Category</t>
  </si>
  <si>
    <t>Highest Profit Category</t>
  </si>
  <si>
    <t>Highest Sales Customer Segment</t>
  </si>
  <si>
    <t>Highest Profit Customer Segment</t>
  </si>
  <si>
    <t>Highest Sales State</t>
  </si>
  <si>
    <t>Highest Sales Payment Method</t>
  </si>
  <si>
    <t>Orders Status Count</t>
  </si>
  <si>
    <t>Corporate segment generated
the highest profit.</t>
  </si>
  <si>
    <t>The Corporate segment contributed the highest sales amoung all segments.</t>
  </si>
  <si>
    <t>Electronics gave the highest profit,so it is the most profitable category.</t>
  </si>
  <si>
    <t>Electronics generated the highest sales  compared  to other categories.</t>
  </si>
  <si>
    <t>Sales were lowest in june, so we can plan more promotions or offers during this period.</t>
  </si>
  <si>
    <t>Karnataka recorded the highest  sales among all states.</t>
  </si>
  <si>
    <t>Debit Card was the most use payment  method  by customers.</t>
  </si>
  <si>
    <t>Most orders were deliverd,but we should also focus on redusing cancellations
and returned orders.</t>
  </si>
  <si>
    <t xml:space="preserve">          Finding</t>
  </si>
  <si>
    <t xml:space="preserve">                Insights</t>
  </si>
  <si>
    <t xml:space="preserve">               Business Explanation</t>
  </si>
  <si>
    <t xml:space="preserve">      Cancelled - 150
      Deliverd - 553
      Returned - 123</t>
  </si>
  <si>
    <t xml:space="preserve">              Jan
       (₹ 2,02,97,395)</t>
  </si>
  <si>
    <t xml:space="preserve">       Electronics
       (₹ 1,24,89,650)</t>
  </si>
  <si>
    <t xml:space="preserve">            June
         (₹ 9,56,645)</t>
  </si>
  <si>
    <t xml:space="preserve">       Electronics
      (₹ 18,78,428.24)</t>
  </si>
  <si>
    <t xml:space="preserve">        Corporate
        (₹ 8,75,977.82)</t>
  </si>
  <si>
    <t xml:space="preserve">        Corporate
        (₹ 59,25,760)</t>
  </si>
  <si>
    <t xml:space="preserve">         Karnataka
        (₹ 41,00,077.5)</t>
  </si>
  <si>
    <t xml:space="preserve">         Debit Card
        (₹ 54,91,077.5)</t>
  </si>
  <si>
    <t xml:space="preserve"> Jan had the highest total sales,which shows customer demand during this month .</t>
  </si>
  <si>
    <t>E-COMMERCE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</si>
</sst>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3" formatCode="_ * #,##0.00_ ;_ * \-#,##0.00_ ;_ * &quot;-&quot;??_ ;_ @_ "/>
    <numFmt numFmtId="164" formatCode="[$-14009]dd/mm/yyyy;@"/>
    <numFmt numFmtId="165" formatCode="0."/>
    <numFmt numFmtId="166" formatCode="&quot;₹&quot;\ #,##0.00"/>
    <numFmt numFmtId="167" formatCode="_ [$₹-4009]\ * #,##0.00_ ;_ [$₹-4009]\ * \-#,##0.00_ ;_ [$₹-4009]\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164" fontId="0" fillId="0" borderId="0" xfId="0" applyNumberFormat="1"/>
    <xf numFmtId="9" fontId="1" fillId="0" borderId="2" xfId="0" applyNumberFormat="1" applyFont="1" applyBorder="1" applyAlignment="1">
      <alignment horizontal="center" vertical="top"/>
    </xf>
    <xf numFmtId="9" fontId="0" fillId="0" borderId="0" xfId="0" applyNumberFormat="1"/>
    <xf numFmtId="41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164" fontId="4" fillId="0" borderId="0" xfId="0" applyNumberFormat="1" applyFont="1"/>
    <xf numFmtId="9" fontId="4" fillId="0" borderId="0" xfId="0" applyNumberFormat="1" applyFont="1"/>
    <xf numFmtId="165" fontId="0" fillId="0" borderId="0" xfId="0" applyNumberFormat="1"/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7" fontId="0" fillId="0" borderId="0" xfId="0" applyNumberFormat="1" applyAlignment="1">
      <alignment vertical="center" wrapText="1"/>
    </xf>
    <xf numFmtId="166" fontId="0" fillId="0" borderId="0" xfId="0" applyNumberFormat="1"/>
    <xf numFmtId="0" fontId="3" fillId="2" borderId="1" xfId="0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1" applyNumberFormat="1" applyFont="1" applyFill="1" applyBorder="1" applyAlignment="1">
      <alignment horizontal="center" vertical="center"/>
    </xf>
    <xf numFmtId="42" fontId="3" fillId="2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27">
    <dxf>
      <alignment horizontal="general" vertical="top" textRotation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numFmt numFmtId="165" formatCode="0.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  <numFmt numFmtId="164" formatCode="[$-14009]dd/mm/yyyy;@"/>
    </dxf>
    <dxf>
      <font>
        <i/>
      </font>
    </dxf>
    <dxf>
      <border outline="0">
        <top style="thin">
          <color auto="1"/>
        </top>
      </border>
    </dxf>
    <dxf>
      <font>
        <i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[Ecommerce_Sales_Analysis.xlsx]Profit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category'!$A$4:$A$10</c:f>
              <c:strCache>
                <c:ptCount val="6"/>
                <c:pt idx="0">
                  <c:v>Accessories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Furniture</c:v>
                </c:pt>
                <c:pt idx="5">
                  <c:v>Home &amp; Kitchen</c:v>
                </c:pt>
              </c:strCache>
            </c:strRef>
          </c:cat>
          <c:val>
            <c:numRef>
              <c:f>'Profit by category'!$B$4:$B$10</c:f>
              <c:numCache>
                <c:formatCode>General</c:formatCode>
                <c:ptCount val="6"/>
                <c:pt idx="0">
                  <c:v>36899.68</c:v>
                </c:pt>
                <c:pt idx="1">
                  <c:v>9935.630000000001</c:v>
                </c:pt>
                <c:pt idx="2">
                  <c:v>1878428.2399999995</c:v>
                </c:pt>
                <c:pt idx="3">
                  <c:v>98453.889999999941</c:v>
                </c:pt>
                <c:pt idx="4">
                  <c:v>226475.91999999995</c:v>
                </c:pt>
                <c:pt idx="5">
                  <c:v>148093.37999999992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C-49FC-8721-B03C124C1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1692208"/>
        <c:axId val="1450291200"/>
      </c:barChart>
      <c:catAx>
        <c:axId val="1451692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291200"/>
        <c:crosses val="autoZero"/>
        <c:auto val="1"/>
        <c:lblAlgn val="ctr"/>
        <c:lblOffset val="100"/>
        <c:noMultiLvlLbl val="0"/>
      </c:catAx>
      <c:valAx>
        <c:axId val="145029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69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[Ecommerce_Sales_Analysis.xlsx]Sales by payment 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payment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'Sales by payment '!$A$4:$A$10</c:f>
              <c:strCache>
                <c:ptCount val="6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Unknown</c:v>
                </c:pt>
                <c:pt idx="5">
                  <c:v>UPI</c:v>
                </c:pt>
              </c:strCache>
            </c:strRef>
          </c:cat>
          <c:val>
            <c:numRef>
              <c:f>'Sales by payment '!$B$4:$B$10</c:f>
              <c:numCache>
                <c:formatCode>General</c:formatCode>
                <c:ptCount val="6"/>
                <c:pt idx="0">
                  <c:v>2469307.5</c:v>
                </c:pt>
                <c:pt idx="1">
                  <c:v>3241220</c:v>
                </c:pt>
                <c:pt idx="2">
                  <c:v>5491077.5</c:v>
                </c:pt>
                <c:pt idx="3">
                  <c:v>2548795</c:v>
                </c:pt>
                <c:pt idx="4">
                  <c:v>5760</c:v>
                </c:pt>
                <c:pt idx="5">
                  <c:v>2370365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4-4353-9F17-4A11147C2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20998688"/>
        <c:axId val="1609934336"/>
      </c:barChart>
      <c:catAx>
        <c:axId val="172099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934336"/>
        <c:crosses val="autoZero"/>
        <c:auto val="1"/>
        <c:lblAlgn val="ctr"/>
        <c:lblOffset val="100"/>
        <c:noMultiLvlLbl val="0"/>
      </c:catAx>
      <c:valAx>
        <c:axId val="160993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99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[Ecommerce_Sales_Analysis.xlsx]Monthly sales by trend!PivotTable17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by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by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by trend'!$B$4:$B$16</c:f>
              <c:numCache>
                <c:formatCode>General</c:formatCode>
                <c:ptCount val="12"/>
                <c:pt idx="0">
                  <c:v>2097395</c:v>
                </c:pt>
                <c:pt idx="1">
                  <c:v>1101545</c:v>
                </c:pt>
                <c:pt idx="2">
                  <c:v>1257692.5</c:v>
                </c:pt>
                <c:pt idx="3">
                  <c:v>1247200</c:v>
                </c:pt>
                <c:pt idx="4">
                  <c:v>1130565</c:v>
                </c:pt>
                <c:pt idx="5">
                  <c:v>956645</c:v>
                </c:pt>
                <c:pt idx="6">
                  <c:v>1433220</c:v>
                </c:pt>
                <c:pt idx="7">
                  <c:v>1678402.5</c:v>
                </c:pt>
                <c:pt idx="8">
                  <c:v>1613437.5</c:v>
                </c:pt>
                <c:pt idx="9">
                  <c:v>1343955</c:v>
                </c:pt>
                <c:pt idx="10">
                  <c:v>964255</c:v>
                </c:pt>
                <c:pt idx="11">
                  <c:v>1302212.5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1D-44BB-8FDB-C22386118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0866639"/>
        <c:axId val="1521826255"/>
      </c:lineChart>
      <c:catAx>
        <c:axId val="152086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26255"/>
        <c:crosses val="autoZero"/>
        <c:auto val="1"/>
        <c:lblAlgn val="ctr"/>
        <c:lblOffset val="100"/>
        <c:noMultiLvlLbl val="0"/>
      </c:catAx>
      <c:valAx>
        <c:axId val="1521826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86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[Ecommerce_Sales_Analysis.xlsx]Sales by category!PivotTable20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category'!$A$4:$A$10</c:f>
              <c:strCache>
                <c:ptCount val="6"/>
                <c:pt idx="0">
                  <c:v>Accessories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Furniture</c:v>
                </c:pt>
                <c:pt idx="5">
                  <c:v>Home &amp; Kitchen</c:v>
                </c:pt>
              </c:strCache>
            </c:strRef>
          </c:cat>
          <c:val>
            <c:numRef>
              <c:f>'Sales by category'!$B$4:$B$10</c:f>
              <c:numCache>
                <c:formatCode>General</c:formatCode>
                <c:ptCount val="6"/>
                <c:pt idx="0">
                  <c:v>203210</c:v>
                </c:pt>
                <c:pt idx="1">
                  <c:v>79695</c:v>
                </c:pt>
                <c:pt idx="2">
                  <c:v>12489650</c:v>
                </c:pt>
                <c:pt idx="3">
                  <c:v>683490</c:v>
                </c:pt>
                <c:pt idx="4">
                  <c:v>1644000</c:v>
                </c:pt>
                <c:pt idx="5">
                  <c:v>1026480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4-4D90-B020-353A1ED5F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2457503"/>
        <c:axId val="1521826671"/>
      </c:barChart>
      <c:catAx>
        <c:axId val="15124575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26671"/>
        <c:crosses val="autoZero"/>
        <c:auto val="1"/>
        <c:lblAlgn val="ctr"/>
        <c:lblOffset val="100"/>
        <c:noMultiLvlLbl val="0"/>
      </c:catAx>
      <c:valAx>
        <c:axId val="1521826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45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[Ecommerce_Sales_Analysis.xlsx]Sales by Customer segment!PivotTable5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Customer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Customer segment'!$A$4:$A$8</c:f>
              <c:strCache>
                <c:ptCount val="4"/>
                <c:pt idx="0">
                  <c:v>Consumer</c:v>
                </c:pt>
                <c:pt idx="1">
                  <c:v>Consumer </c:v>
                </c:pt>
                <c:pt idx="2">
                  <c:v>Corporate</c:v>
                </c:pt>
                <c:pt idx="3">
                  <c:v>Home Office</c:v>
                </c:pt>
              </c:strCache>
            </c:strRef>
          </c:cat>
          <c:val>
            <c:numRef>
              <c:f>'Sales by Customer segment'!$B$4:$B$8</c:f>
              <c:numCache>
                <c:formatCode>General</c:formatCode>
                <c:ptCount val="4"/>
                <c:pt idx="0">
                  <c:v>5124272.5</c:v>
                </c:pt>
                <c:pt idx="1">
                  <c:v>3420</c:v>
                </c:pt>
                <c:pt idx="2">
                  <c:v>5925760</c:v>
                </c:pt>
                <c:pt idx="3">
                  <c:v>5073072.5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9-448E-8C16-AB46B3363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159120"/>
        <c:axId val="1600074304"/>
      </c:barChart>
      <c:catAx>
        <c:axId val="160315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74304"/>
        <c:crosses val="autoZero"/>
        <c:auto val="1"/>
        <c:lblAlgn val="ctr"/>
        <c:lblOffset val="100"/>
        <c:noMultiLvlLbl val="0"/>
      </c:catAx>
      <c:valAx>
        <c:axId val="160007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15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[Ecommerce_Sales_Analysis.xlsx]Sales by state!PivotTable6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State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state'!$A$4:$A$11</c:f>
              <c:strCache>
                <c:ptCount val="7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  <c:pt idx="3">
                  <c:v>Tamil Nadu</c:v>
                </c:pt>
                <c:pt idx="4">
                  <c:v>Telangana</c:v>
                </c:pt>
                <c:pt idx="5">
                  <c:v>Unknown</c:v>
                </c:pt>
                <c:pt idx="6">
                  <c:v>West Bengal</c:v>
                </c:pt>
              </c:strCache>
            </c:strRef>
          </c:cat>
          <c:val>
            <c:numRef>
              <c:f>'Sales by state'!$B$4:$B$11</c:f>
              <c:numCache>
                <c:formatCode>General</c:formatCode>
                <c:ptCount val="7"/>
                <c:pt idx="0">
                  <c:v>2595410</c:v>
                </c:pt>
                <c:pt idx="1">
                  <c:v>4100077.5</c:v>
                </c:pt>
                <c:pt idx="2">
                  <c:v>3517172.5</c:v>
                </c:pt>
                <c:pt idx="3">
                  <c:v>1558797.5</c:v>
                </c:pt>
                <c:pt idx="4">
                  <c:v>2024767.5</c:v>
                </c:pt>
                <c:pt idx="5">
                  <c:v>30520</c:v>
                </c:pt>
                <c:pt idx="6">
                  <c:v>2299780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C-4D3B-85C2-43170F6CD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5513024"/>
        <c:axId val="1458626192"/>
      </c:barChart>
      <c:catAx>
        <c:axId val="1595513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626192"/>
        <c:crosses val="autoZero"/>
        <c:auto val="1"/>
        <c:lblAlgn val="ctr"/>
        <c:lblOffset val="100"/>
        <c:noMultiLvlLbl val="0"/>
      </c:catAx>
      <c:valAx>
        <c:axId val="145862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51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[Ecommerce_Sales_Analysis.xlsx]Orders by order status!PivotTable9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</a:t>
            </a:r>
            <a:r>
              <a:rPr lang="en-IN" baseline="0"/>
              <a:t> by Order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'Orders by order status'!$B$3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'Orders by order status'!$A$4:$A$7</c:f>
              <c:strCache>
                <c:ptCount val="3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</c:strCache>
            </c:strRef>
          </c:cat>
          <c:val>
            <c:numRef>
              <c:f>'Orders by order status'!$B$4:$B$7</c:f>
              <c:numCache>
                <c:formatCode>General</c:formatCode>
                <c:ptCount val="3"/>
                <c:pt idx="0">
                  <c:v>150</c:v>
                </c:pt>
                <c:pt idx="1">
                  <c:v>523</c:v>
                </c:pt>
                <c:pt idx="2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2-494D-AFB0-14F37B035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4535696"/>
        <c:axId val="1730061072"/>
      </c:barChart>
      <c:catAx>
        <c:axId val="160453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061072"/>
        <c:crosses val="autoZero"/>
        <c:auto val="1"/>
        <c:lblAlgn val="ctr"/>
        <c:lblOffset val="100"/>
        <c:noMultiLvlLbl val="0"/>
      </c:catAx>
      <c:valAx>
        <c:axId val="173006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53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[Ecommerce_Sales_Analysis.xlsx]Profit by customer segment!PivotTable10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Customer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customer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customer segment'!$A$4:$A$8</c:f>
              <c:strCache>
                <c:ptCount val="4"/>
                <c:pt idx="0">
                  <c:v>Consumer</c:v>
                </c:pt>
                <c:pt idx="1">
                  <c:v>Consumer </c:v>
                </c:pt>
                <c:pt idx="2">
                  <c:v>Corporate</c:v>
                </c:pt>
                <c:pt idx="3">
                  <c:v>Home Office</c:v>
                </c:pt>
              </c:strCache>
            </c:strRef>
          </c:cat>
          <c:val>
            <c:numRef>
              <c:f>'Profit by customer segment'!$B$4:$B$8</c:f>
              <c:numCache>
                <c:formatCode>General</c:formatCode>
                <c:ptCount val="4"/>
                <c:pt idx="0">
                  <c:v>746443.09999999974</c:v>
                </c:pt>
                <c:pt idx="1">
                  <c:v>647.34</c:v>
                </c:pt>
                <c:pt idx="2">
                  <c:v>875977.82000000041</c:v>
                </c:pt>
                <c:pt idx="3">
                  <c:v>775218.48000000045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7-4F87-BE98-FD522D7BE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4536496"/>
        <c:axId val="1730061904"/>
      </c:barChart>
      <c:catAx>
        <c:axId val="160453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061904"/>
        <c:crosses val="autoZero"/>
        <c:auto val="1"/>
        <c:lblAlgn val="ctr"/>
        <c:lblOffset val="100"/>
        <c:noMultiLvlLbl val="0"/>
      </c:catAx>
      <c:valAx>
        <c:axId val="173006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53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271462</xdr:colOff>
      <xdr:row>4</xdr:row>
      <xdr:rowOff>33337</xdr:rowOff>
    </xdr:from>
    <xdr:to>
      <xdr:col>10</xdr:col>
      <xdr:colOff>576262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E83890-04F6-4CDD-87B6-34C175D1B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271462</xdr:colOff>
      <xdr:row>4</xdr:row>
      <xdr:rowOff>33337</xdr:rowOff>
    </xdr:from>
    <xdr:to>
      <xdr:col>10</xdr:col>
      <xdr:colOff>576262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2AFE9C-4CA5-4BF8-AE11-3A0267073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4</xdr:col>
      <xdr:colOff>485325</xdr:colOff>
      <xdr:row>20</xdr:row>
      <xdr:rowOff>43500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C59A83-20B5-4256-9571-8E529D556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7</xdr:row>
      <xdr:rowOff>0</xdr:rowOff>
    </xdr:from>
    <xdr:to>
      <xdr:col>14</xdr:col>
      <xdr:colOff>561525</xdr:colOff>
      <xdr:row>20</xdr:row>
      <xdr:rowOff>43500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F82AB8-A265-4C12-8F2A-76E743A2C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190499</xdr:rowOff>
    </xdr:from>
    <xdr:to>
      <xdr:col>4</xdr:col>
      <xdr:colOff>485325</xdr:colOff>
      <xdr:row>35</xdr:row>
      <xdr:rowOff>43499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96C5B5-D14B-48E6-A2DD-7613CC380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14</xdr:col>
      <xdr:colOff>552000</xdr:colOff>
      <xdr:row>35</xdr:row>
      <xdr:rowOff>43500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8A45F2-94DA-4C6F-A576-5A9FFF715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4</xdr:col>
      <xdr:colOff>485325</xdr:colOff>
      <xdr:row>50</xdr:row>
      <xdr:rowOff>43500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72FA5C-BE79-425D-B4D1-6F409ADA7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14</xdr:col>
      <xdr:colOff>552000</xdr:colOff>
      <xdr:row>50</xdr:row>
      <xdr:rowOff>43500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AA511E-E70B-4C47-A32E-EC517AFBB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janya D B" refreshedDate="46277.561083680557" createdVersion="6" refreshedVersion="6" minRefreshableVersion="3" recordCount="800" xr:uid="{4CF85771-58BD-488C-AE3E-1F33224A83E6}">
  <cacheSource type="worksheet">
    <worksheetSource name="Table1"/>
  </cacheSource>
  <cacheFields count="18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5-12-30T00:00:00" count="316">
        <d v="2025-05-06T00:00:00"/>
        <d v="2025-02-17T00:00:00"/>
        <d v="2025-06-22T00:00:00"/>
        <d v="2025-03-20T00:00:00"/>
        <d v="2025-07-05T00:00:00"/>
        <d v="2025-10-29T00:00:00"/>
        <d v="2025-10-02T00:00:00"/>
        <d v="2025-12-27T00:00:00"/>
        <d v="2025-08-21T00:00:00"/>
        <d v="2025-10-01T00:00:00"/>
        <d v="2025-01-17T00:00:00"/>
        <d v="2025-07-22T00:00:00"/>
        <d v="2025-10-26T00:00:00"/>
        <d v="2025-09-28T00:00:00"/>
        <d v="2025-05-31T00:00:00"/>
        <d v="2025-11-17T00:00:00"/>
        <d v="2025-09-29T00:00:00"/>
        <d v="2025-05-04T00:00:00"/>
        <d v="2025-03-26T00:00:00"/>
        <d v="2025-12-10T00:00:00"/>
        <d v="2025-01-11T00:00:00"/>
        <d v="2025-02-06T00:00:00"/>
        <d v="2025-07-28T00:00:00"/>
        <d v="2025-12-11T00:00:00"/>
        <d v="2025-08-18T00:00:00"/>
        <d v="2025-01-26T00:00:00"/>
        <d v="2025-07-25T00:00:00"/>
        <d v="2025-12-05T00:00:00"/>
        <d v="2025-11-01T00:00:00"/>
        <d v="2025-01-21T00:00:00"/>
        <d v="2025-05-03T00:00:00"/>
        <d v="2025-08-23T00:00:00"/>
        <d v="2025-07-09T00:00:00"/>
        <d v="2025-12-06T00:00:00"/>
        <d v="2025-11-06T00:00:00"/>
        <d v="2025-10-10T00:00:00"/>
        <d v="2025-12-08T00:00:00"/>
        <d v="2025-04-01T00:00:00"/>
        <d v="2025-12-26T00:00:00"/>
        <d v="2025-04-27T00:00:00"/>
        <d v="2025-11-25T00:00:00"/>
        <d v="2025-10-25T00:00:00"/>
        <d v="2025-09-19T00:00:00"/>
        <d v="2025-10-03T00:00:00"/>
        <d v="2025-09-17T00:00:00"/>
        <d v="2025-12-07T00:00:00"/>
        <d v="2025-01-01T00:00:00"/>
        <d v="2025-08-15T00:00:00"/>
        <d v="2025-01-24T00:00:00"/>
        <d v="2025-07-24T00:00:00"/>
        <d v="2025-08-26T00:00:00"/>
        <d v="2025-03-23T00:00:00"/>
        <d v="2025-08-14T00:00:00"/>
        <d v="2025-04-29T00:00:00"/>
        <d v="2025-08-27T00:00:00"/>
        <d v="2025-09-02T00:00:00"/>
        <d v="2025-05-20T00:00:00"/>
        <d v="2025-11-15T00:00:00"/>
        <d v="2025-04-04T00:00:00"/>
        <d v="2025-08-04T00:00:00"/>
        <d v="2025-11-30T00:00:00"/>
        <d v="2025-08-31T00:00:00"/>
        <d v="2025-02-28T00:00:00"/>
        <d v="2025-02-08T00:00:00"/>
        <d v="2025-08-08T00:00:00"/>
        <d v="2025-09-05T00:00:00"/>
        <d v="2025-08-19T00:00:00"/>
        <d v="2025-09-22T00:00:00"/>
        <d v="2025-05-09T00:00:00"/>
        <d v="2025-10-11T00:00:00"/>
        <d v="2025-08-29T00:00:00"/>
        <d v="2025-09-09T00:00:00"/>
        <d v="2025-03-02T00:00:00"/>
        <d v="2025-06-02T00:00:00"/>
        <d v="2025-05-16T00:00:00"/>
        <d v="2025-12-19T00:00:00"/>
        <d v="2025-12-25T00:00:00"/>
        <d v="2025-08-10T00:00:00"/>
        <d v="2025-05-28T00:00:00"/>
        <d v="2025-03-01T00:00:00"/>
        <d v="2025-09-23T00:00:00"/>
        <d v="2025-03-09T00:00:00"/>
        <d v="2025-05-30T00:00:00"/>
        <d v="2025-11-03T00:00:00"/>
        <d v="2025-07-13T00:00:00"/>
        <d v="2025-01-23T00:00:00"/>
        <d v="2025-03-06T00:00:00"/>
        <d v="2025-07-29T00:00:00"/>
        <d v="2025-12-12T00:00:00"/>
        <d v="2025-05-01T00:00:00"/>
        <d v="2025-12-22T00:00:00"/>
        <d v="2025-03-16T00:00:00"/>
        <d v="2025-07-15T00:00:00"/>
        <d v="2025-10-28T00:00:00"/>
        <d v="2025-05-21T00:00:00"/>
        <d v="2025-11-07T00:00:00"/>
        <d v="2025-06-08T00:00:00"/>
        <d v="2025-03-31T00:00:00"/>
        <d v="2025-09-04T00:00:00"/>
        <d v="2025-10-13T00:00:00"/>
        <d v="2025-11-14T00:00:00"/>
        <d v="2025-03-11T00:00:00"/>
        <d v="2025-09-08T00:00:00"/>
        <d v="2025-03-04T00:00:00"/>
        <d v="2025-03-17T00:00:00"/>
        <d v="2025-01-27T00:00:00"/>
        <d v="2025-10-31T00:00:00"/>
        <d v="2025-02-01T00:00:00"/>
        <d v="2025-06-14T00:00:00"/>
        <d v="2025-08-09T00:00:00"/>
        <d v="2025-08-07T00:00:00"/>
        <d v="2025-07-01T00:00:00"/>
        <d v="2025-10-23T00:00:00"/>
        <d v="2025-10-21T00:00:00"/>
        <d v="2025-01-15T00:00:00"/>
        <d v="2025-10-17T00:00:00"/>
        <d v="2025-03-22T00:00:00"/>
        <d v="2025-04-21T00:00:00"/>
        <d v="2025-01-04T00:00:00"/>
        <d v="2025-12-09T00:00:00"/>
        <d v="2025-06-10T00:00:00"/>
        <d v="2025-06-16T00:00:00"/>
        <d v="2025-08-12T00:00:00"/>
        <d v="2025-10-24T00:00:00"/>
        <d v="2025-02-04T00:00:00"/>
        <d v="2025-09-01T00:00:00"/>
        <d v="2025-05-25T00:00:00"/>
        <d v="2025-02-18T00:00:00"/>
        <d v="2025-07-12T00:00:00"/>
        <d v="2025-01-10T00:00:00"/>
        <d v="2025-03-21T00:00:00"/>
        <d v="2025-07-06T00:00:00"/>
        <d v="2025-04-10T00:00:00"/>
        <d v="2025-08-03T00:00:00"/>
        <d v="2025-09-20T00:00:00"/>
        <d v="2025-11-29T00:00:00"/>
        <d v="2025-11-12T00:00:00"/>
        <d v="2025-05-02T00:00:00"/>
        <d v="2025-11-02T00:00:00"/>
        <d v="2025-06-30T00:00:00"/>
        <d v="2025-10-06T00:00:00"/>
        <d v="2025-02-02T00:00:00"/>
        <d v="2025-07-23T00:00:00"/>
        <d v="2025-12-21T00:00:00"/>
        <d v="2025-11-05T00:00:00"/>
        <d v="2025-11-08T00:00:00"/>
        <d v="2025-05-27T00:00:00"/>
        <d v="2025-09-18T00:00:00"/>
        <d v="2025-09-15T00:00:00"/>
        <d v="2025-06-27T00:00:00"/>
        <d v="2025-08-02T00:00:00"/>
        <d v="2025-12-17T00:00:00"/>
        <d v="2025-02-16T00:00:00"/>
        <d v="2025-03-10T00:00:00"/>
        <d v="2025-10-15T00:00:00"/>
        <d v="2025-11-16T00:00:00"/>
        <d v="2025-08-22T00:00:00"/>
        <d v="2025-07-08T00:00:00"/>
        <d v="2025-09-14T00:00:00"/>
        <d v="2025-10-07T00:00:00"/>
        <d v="2025-05-23T00:00:00"/>
        <d v="2025-09-03T00:00:00"/>
        <d v="2025-07-14T00:00:00"/>
        <d v="2025-07-31T00:00:00"/>
        <d v="2025-05-29T00:00:00"/>
        <d v="2025-09-26T00:00:00"/>
        <d v="2025-03-25T00:00:00"/>
        <d v="2025-12-20T00:00:00"/>
        <d v="2025-05-07T00:00:00"/>
        <d v="2025-09-16T00:00:00"/>
        <d v="2025-08-06T00:00:00"/>
        <d v="2025-01-18T00:00:00"/>
        <d v="2025-04-30T00:00:00"/>
        <d v="2025-06-13T00:00:00"/>
        <d v="2025-06-03T00:00:00"/>
        <d v="2025-04-08T00:00:00"/>
        <d v="2025-04-15T00:00:00"/>
        <d v="2025-12-02T00:00:00"/>
        <d v="2025-03-13T00:00:00"/>
        <d v="2025-09-30T00:00:00"/>
        <d v="2025-12-24T00:00:00"/>
        <d v="2025-05-05T00:00:00"/>
        <d v="2025-10-18T00:00:00"/>
        <d v="2025-11-21T00:00:00"/>
        <d v="2025-12-15T00:00:00"/>
        <d v="2025-01-03T00:00:00"/>
        <d v="2025-04-11T00:00:00"/>
        <d v="2025-06-21T00:00:00"/>
        <d v="2025-04-03T00:00:00"/>
        <d v="2025-02-07T00:00:00"/>
        <d v="2025-07-04T00:00:00"/>
        <d v="2025-06-19T00:00:00"/>
        <d v="2025-07-20T00:00:00"/>
        <d v="2025-02-23T00:00:00"/>
        <d v="2025-06-25T00:00:00"/>
        <d v="2025-04-06T00:00:00"/>
        <d v="2025-07-07T00:00:00"/>
        <d v="2025-11-09T00:00:00"/>
        <d v="2025-10-30T00:00:00"/>
        <d v="2025-09-07T00:00:00"/>
        <d v="2025-01-28T00:00:00"/>
        <d v="2025-08-01T00:00:00"/>
        <d v="2025-04-26T00:00:00"/>
        <d v="2025-05-18T00:00:00"/>
        <d v="2025-12-01T00:00:00"/>
        <d v="2025-03-28T00:00:00"/>
        <d v="2025-01-31T00:00:00"/>
        <d v="2025-12-13T00:00:00"/>
        <d v="2025-01-02T00:00:00"/>
        <d v="2025-04-19T00:00:00"/>
        <d v="2025-04-28T00:00:00"/>
        <d v="2025-02-21T00:00:00"/>
        <d v="2025-04-16T00:00:00"/>
        <d v="2025-10-19T00:00:00"/>
        <d v="2025-01-08T00:00:00"/>
        <d v="2025-08-05T00:00:00"/>
        <d v="2025-02-10T00:00:00"/>
        <d v="2025-03-03T00:00:00"/>
        <d v="2025-05-13T00:00:00"/>
        <d v="2025-01-29T00:00:00"/>
        <d v="2025-03-18T00:00:00"/>
        <d v="2025-05-08T00:00:00"/>
        <d v="2025-06-09T00:00:00"/>
        <d v="2025-01-16T00:00:00"/>
        <d v="2025-10-27T00:00:00"/>
        <d v="2025-07-18T00:00:00"/>
        <d v="2025-01-12T00:00:00"/>
        <d v="2025-01-06T00:00:00"/>
        <d v="2025-07-17T00:00:00"/>
        <d v="2025-08-17T00:00:00"/>
        <d v="2025-02-13T00:00:00"/>
        <d v="2025-10-20T00:00:00"/>
        <d v="2025-01-22T00:00:00"/>
        <d v="2025-01-07T00:00:00"/>
        <d v="2025-05-24T00:00:00"/>
        <d v="2025-07-11T00:00:00"/>
        <d v="2025-07-10T00:00:00"/>
        <d v="2025-11-28T00:00:00"/>
        <d v="2025-03-15T00:00:00"/>
        <d v="2025-11-11T00:00:00"/>
        <d v="2025-04-13T00:00:00"/>
        <d v="2025-06-04T00:00:00"/>
        <d v="2025-04-14T00:00:00"/>
        <d v="2025-09-25T00:00:00"/>
        <d v="2025-11-10T00:00:00"/>
        <d v="2025-07-26T00:00:00"/>
        <d v="2025-08-20T00:00:00"/>
        <d v="2025-10-05T00:00:00"/>
        <d v="2025-03-24T00:00:00"/>
        <d v="2025-02-22T00:00:00"/>
        <d v="2025-10-09T00:00:00"/>
        <d v="2025-06-01T00:00:00"/>
        <d v="2025-01-13T00:00:00"/>
        <d v="2025-01-09T00:00:00"/>
        <d v="2025-11-27T00:00:00"/>
        <d v="2025-01-19T00:00:00"/>
        <d v="2025-04-25T00:00:00"/>
        <d v="2025-04-02T00:00:00"/>
        <d v="2025-02-19T00:00:00"/>
        <d v="2025-12-04T00:00:00"/>
        <d v="2025-05-11T00:00:00"/>
        <d v="2025-10-14T00:00:00"/>
        <d v="2025-08-11T00:00:00"/>
        <d v="2025-05-26T00:00:00"/>
        <d v="2025-10-22T00:00:00"/>
        <d v="2025-06-24T00:00:00"/>
        <d v="2025-10-16T00:00:00"/>
        <d v="2025-07-02T00:00:00"/>
        <d v="2025-05-15T00:00:00"/>
        <d v="2025-04-18T00:00:00"/>
        <d v="2025-06-11T00:00:00"/>
        <d v="2025-09-24T00:00:00"/>
        <d v="2025-10-04T00:00:00"/>
        <d v="2025-12-23T00:00:00"/>
        <d v="2025-12-18T00:00:00"/>
        <d v="2025-02-24T00:00:00"/>
        <d v="2025-07-03T00:00:00"/>
        <d v="2025-04-05T00:00:00"/>
        <d v="2025-04-09T00:00:00"/>
        <d v="2025-04-24T00:00:00"/>
        <d v="2025-12-03T00:00:00"/>
        <d v="2025-05-17T00:00:00"/>
        <d v="2025-06-28T00:00:00"/>
        <d v="2025-02-27T00:00:00"/>
        <d v="2025-07-21T00:00:00"/>
        <d v="2025-05-22T00:00:00"/>
        <d v="2025-11-04T00:00:00"/>
        <d v="2025-02-03T00:00:00"/>
        <d v="2025-09-10T00:00:00"/>
        <d v="2025-06-29T00:00:00"/>
        <d v="2025-03-07T00:00:00"/>
        <d v="2025-08-25T00:00:00"/>
        <d v="2025-03-30T00:00:00"/>
        <d v="2025-06-17T00:00:00"/>
        <d v="2025-12-14T00:00:00"/>
        <d v="2025-02-26T00:00:00"/>
        <d v="2025-02-15T00:00:00"/>
        <d v="2025-05-14T00:00:00"/>
        <d v="2025-11-26T00:00:00"/>
        <d v="2025-02-20T00:00:00"/>
        <d v="2025-09-06T00:00:00"/>
        <d v="2025-11-18T00:00:00"/>
        <d v="2025-12-16T00:00:00"/>
        <d v="2025-01-25T00:00:00"/>
        <d v="2025-12-29T00:00:00"/>
        <d v="2025-11-24T00:00:00"/>
        <d v="2025-03-12T00:00:00"/>
        <d v="2025-02-09T00:00:00"/>
        <d v="2025-06-07T00:00:00"/>
        <d v="2025-05-10T00:00:00"/>
        <d v="2025-03-29T00:00:00"/>
        <d v="2025-09-11T00:00:00"/>
        <d v="2025-04-07T00:00:00"/>
        <d v="2025-09-12T00:00:00"/>
        <d v="2025-07-16T00:00:00"/>
        <d v="2025-04-20T00:00:00"/>
      </sharedItems>
      <fieldGroup par="17" base="1">
        <rangePr groupBy="days" startDate="2025-01-01T00:00:00" endDate="2025-12-30T00:00:00"/>
        <groupItems count="368">
          <s v="&lt;01-01-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12-25"/>
        </groupItems>
      </fieldGroup>
    </cacheField>
    <cacheField name="Customer_ID" numFmtId="0">
      <sharedItems/>
    </cacheField>
    <cacheField name="Customer_Name" numFmtId="0">
      <sharedItems/>
    </cacheField>
    <cacheField name="Product" numFmtId="0">
      <sharedItems/>
    </cacheField>
    <cacheField name="Category" numFmtId="0">
      <sharedItems count="7">
        <s v="Electronics"/>
        <s v="Home &amp; Kitchen"/>
        <s v="Furniture"/>
        <s v="Fashion"/>
        <s v="Books"/>
        <s v="Accessories"/>
        <s v="Home and Kitchen" u="1"/>
      </sharedItems>
    </cacheField>
    <cacheField name="Quantity" numFmtId="0">
      <sharedItems containsSemiMixedTypes="0" containsString="0" containsNumber="1" containsInteger="1" minValue="-2" maxValue="5"/>
    </cacheField>
    <cacheField name="Unit_Price" numFmtId="0">
      <sharedItems containsSemiMixedTypes="0" containsString="0" containsNumber="1" containsInteger="1" minValue="450" maxValue="55000"/>
    </cacheField>
    <cacheField name="Discount" numFmtId="0">
      <sharedItems containsSemiMixedTypes="0" containsString="0" containsNumber="1" minValue="0" maxValue="0.2"/>
    </cacheField>
    <cacheField name="Sales" numFmtId="0">
      <sharedItems containsSemiMixedTypes="0" containsString="0" containsNumber="1" minValue="-5600" maxValue="275000" count="225">
        <n v="4050"/>
        <n v="1200"/>
        <n v="14250"/>
        <n v="1800"/>
        <n v="2040"/>
        <n v="6375"/>
        <n v="13300"/>
        <n v="16200"/>
        <n v="8550"/>
        <n v="3325"/>
        <n v="5950"/>
        <n v="31875"/>
        <n v="1912.5"/>
        <n v="22500"/>
        <n v="14000"/>
        <n v="4480"/>
        <n v="12000"/>
        <n v="1620"/>
        <n v="3740"/>
        <n v="4800"/>
        <n v="1280"/>
        <n v="8000"/>
        <n v="8360"/>
        <n v="19200"/>
        <n v="66000"/>
        <n v="3600"/>
        <n v="7200"/>
        <n v="13500"/>
        <n v="3500"/>
        <n v="2660"/>
        <n v="247500"/>
        <n v="3780"/>
        <n v="6600"/>
        <n v="12750"/>
        <n v="52800"/>
        <n v="5320"/>
        <n v="5130"/>
        <n v="4320"/>
        <n v="4860"/>
        <n v="12825"/>
        <n v="11200"/>
        <n v="960"/>
        <n v="3150"/>
        <n v="2380"/>
        <n v="11900"/>
        <n v="1600"/>
        <n v="2720"/>
        <n v="2880"/>
        <n v="6400"/>
        <n v="5100"/>
        <n v="3960"/>
        <n v="3420"/>
        <n v="233750"/>
        <n v="6840"/>
        <n v="10640"/>
        <n v="12600"/>
        <n v="5600"/>
        <n v="1710"/>
        <n v="1870"/>
        <n v="30000"/>
        <n v="198000"/>
        <n v="37500"/>
        <n v="6120"/>
        <n v="8960"/>
        <n v="8100"/>
        <n v="7500"/>
        <n v="3825"/>
        <n v="5700"/>
        <n v="1530"/>
        <n v="187000"/>
        <n v="1520"/>
        <n v="1400"/>
        <n v="9000"/>
        <n v="132000"/>
        <n v="9450"/>
        <n v="1140"/>
        <n v="1920"/>
        <n v="3240"/>
        <n v="7650"/>
        <n v="6750"/>
        <n v="765"/>
        <n v="405"/>
        <n v="110000"/>
        <n v="17100"/>
        <n v="7140"/>
        <n v="2240"/>
        <n v="27000"/>
        <n v="6480"/>
        <n v="10200"/>
        <n v="6270"/>
        <n v="15300"/>
        <n v="4080"/>
        <n v="6080"/>
        <n v="1282.5"/>
        <n v="62700"/>
        <n v="1440"/>
        <n v="15000"/>
        <n v="99000"/>
        <n v="3840"/>
        <n v="24000"/>
        <n v="21375"/>
        <n v="1080"/>
        <n v="2975"/>
        <n v="18000"/>
        <n v="2520"/>
        <n v="104500"/>
        <n v="5760"/>
        <n v="220000"/>
        <n v="7000"/>
        <n v="2800"/>
        <n v="7040"/>
        <n v="7560"/>
        <n v="5400"/>
        <n v="1360"/>
        <n v="4590"/>
        <n v="79200"/>
        <n v="165000"/>
        <n v="4760"/>
        <n v="4180"/>
        <n v="8400"/>
        <n v="1020"/>
        <n v="2250"/>
        <n v="93500"/>
        <n v="2560"/>
        <n v="5040"/>
        <n v="4200"/>
        <n v="7980"/>
        <n v="3360"/>
        <n v="22800"/>
        <n v="5440"/>
        <n v="6720"/>
        <n v="46750"/>
        <n v="360"/>
        <n v="855"/>
        <n v="6650"/>
        <n v="9520"/>
        <n v="17600"/>
        <n v="720"/>
        <n v="140250"/>
        <n v="148500"/>
        <n v="2025"/>
        <n v="10450"/>
        <n v="7125"/>
        <n v="18700"/>
        <n v="74800"/>
        <n v="9600"/>
        <n v="8925"/>
        <n v="1260"/>
        <n v="22000"/>
        <n v="1330"/>
        <n v="2200"/>
        <n v="7920"/>
        <n v="1120"/>
        <n v="1350"/>
        <n v="3060"/>
        <n v="8800"/>
        <n v="1147.5"/>
        <n v="14400"/>
        <n v="3200"/>
        <n v="6000"/>
        <n v="14875"/>
        <n v="7480"/>
        <n v="3990"/>
        <n v="5280"/>
        <n v="261250"/>
        <n v="275000"/>
        <n v="25500"/>
        <n v="5610"/>
        <n v="2160"/>
        <n v="83600"/>
        <n v="4560"/>
        <n v="21600"/>
        <n v="2280"/>
        <n v="19125"/>
        <n v="9900"/>
        <n v="35200"/>
        <n v="4500"/>
        <n v="209000"/>
        <n v="4400"/>
        <n v="800"/>
        <n v="20400"/>
        <n v="44000"/>
        <n v="70400"/>
        <n v="6300"/>
        <n v="382.5"/>
        <n v="88000"/>
        <n v="4275"/>
        <n v="11400"/>
        <n v="1760"/>
        <n v="2090"/>
        <n v="52250"/>
        <n v="55000"/>
        <n v="19800"/>
        <n v="2400"/>
        <n v="5120"/>
        <n v="1215"/>
        <n v="16625"/>
        <n v="39600"/>
        <n v="56100"/>
        <n v="-5600"/>
        <n v="49500"/>
        <n v="2137.5"/>
        <n v="3570"/>
        <n v="900"/>
        <n v="11000"/>
        <n v="28500"/>
        <n v="760"/>
        <n v="680"/>
        <n v="9350"/>
        <n v="59400"/>
        <n v="37400"/>
        <n v="10500"/>
        <n v="176000"/>
        <n v="7600"/>
        <n v="3400"/>
        <n v="20250"/>
        <n v="3040"/>
        <n v="17500"/>
        <n v="41800"/>
        <n v="10080"/>
        <n v="5940"/>
        <n v="10800"/>
        <n v="3800"/>
        <n v="427.5"/>
        <n v="11475"/>
      </sharedItems>
    </cacheField>
    <cacheField name="Cost" numFmtId="0">
      <sharedItems containsSemiMixedTypes="0" containsString="0" containsNumber="1" minValue="309.16000000000003" maxValue="234291.53"/>
    </cacheField>
    <cacheField name="Profit" numFmtId="0">
      <sharedItems containsSemiMixedTypes="0" containsString="0" containsNumber="1" minValue="-13736.02" maxValue="93730.95"/>
    </cacheField>
    <cacheField name="City" numFmtId="0">
      <sharedItems/>
    </cacheField>
    <cacheField name="State" numFmtId="0">
      <sharedItems count="7">
        <s v="Maharashtra"/>
        <s v="Tamil Nadu"/>
        <s v="Telangana"/>
        <s v="Delhi"/>
        <s v="Karnataka"/>
        <s v="West Bengal"/>
        <s v="Unknown"/>
      </sharedItems>
    </cacheField>
    <cacheField name="Customer_Segment" numFmtId="0">
      <sharedItems count="4">
        <s v="Home Office"/>
        <s v="Consumer"/>
        <s v="Corporate"/>
        <s v="Consumer "/>
      </sharedItems>
    </cacheField>
    <cacheField name="Payment_Method" numFmtId="0">
      <sharedItems count="6">
        <s v="Net Banking"/>
        <s v="Debit Card"/>
        <s v="UPI"/>
        <s v="Cash on Delivery"/>
        <s v="Credit Card"/>
        <s v="Unknown"/>
      </sharedItems>
    </cacheField>
    <cacheField name="Order_Status" numFmtId="0">
      <sharedItems count="3">
        <s v="Delivered"/>
        <s v="Cancelled"/>
        <s v="Returned"/>
      </sharedItems>
    </cacheField>
    <cacheField name="Months" numFmtId="0" databaseField="0">
      <fieldGroup base="1">
        <rangePr groupBy="months" startDate="2025-01-01T00:00:00" endDate="2025-12-30T00:00:00"/>
        <groupItems count="14">
          <s v="&lt;01-01-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12-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s v="ORD0001"/>
    <x v="0"/>
    <s v="CUST1036"/>
    <s v="Customer 1036"/>
    <s v="Smartwatch"/>
    <x v="0"/>
    <n v="1"/>
    <n v="4500"/>
    <n v="0.1"/>
    <x v="0"/>
    <n v="3687.25"/>
    <n v="362.75"/>
    <s v="Mumbai"/>
    <x v="0"/>
    <x v="0"/>
    <x v="0"/>
    <x v="0"/>
  </r>
  <r>
    <s v="ORD0002"/>
    <x v="1"/>
    <s v="CUST1060"/>
    <s v="Customer 1060"/>
    <s v="Study Table Lamp"/>
    <x v="1"/>
    <n v="1"/>
    <n v="1200"/>
    <n v="0"/>
    <x v="1"/>
    <n v="919.48"/>
    <n v="280.52"/>
    <s v="Mumbai"/>
    <x v="0"/>
    <x v="1"/>
    <x v="0"/>
    <x v="0"/>
  </r>
  <r>
    <s v="ORD0004"/>
    <x v="2"/>
    <s v="CUST1024"/>
    <s v="Customer 1024"/>
    <s v="Office Chair"/>
    <x v="2"/>
    <n v="2"/>
    <n v="7500"/>
    <n v="0.05"/>
    <x v="2"/>
    <n v="11060.75"/>
    <n v="3189.25"/>
    <s v="Chennai"/>
    <x v="1"/>
    <x v="1"/>
    <x v="1"/>
    <x v="1"/>
  </r>
  <r>
    <s v="ORD0012"/>
    <x v="3"/>
    <s v="CUST1203"/>
    <s v="Customer 1203"/>
    <s v="Headphones"/>
    <x v="0"/>
    <n v="1"/>
    <n v="1800"/>
    <n v="0"/>
    <x v="3"/>
    <n v="1451.72"/>
    <n v="348.28"/>
    <s v="Hyderabad"/>
    <x v="2"/>
    <x v="2"/>
    <x v="2"/>
    <x v="0"/>
  </r>
  <r>
    <s v="ORD0503"/>
    <x v="4"/>
    <s v="CUST1040"/>
    <s v="Customer 1040"/>
    <s v="T-Shirt"/>
    <x v="3"/>
    <n v="3"/>
    <n v="800"/>
    <n v="0.15"/>
    <x v="4"/>
    <n v="1795.19"/>
    <n v="244.81"/>
    <s v="Chennai"/>
    <x v="1"/>
    <x v="1"/>
    <x v="1"/>
    <x v="0"/>
  </r>
  <r>
    <s v="ORD0003"/>
    <x v="5"/>
    <s v="CUST1208"/>
    <s v="Customer 1208"/>
    <s v="Study Table Lamp"/>
    <x v="1"/>
    <n v="2"/>
    <n v="1200"/>
    <n v="0.15"/>
    <x v="4"/>
    <n v="2039.85"/>
    <n v="0.15"/>
    <s v="Pune"/>
    <x v="0"/>
    <x v="2"/>
    <x v="3"/>
    <x v="0"/>
  </r>
  <r>
    <s v="ORD0005"/>
    <x v="6"/>
    <s v="CUST1250"/>
    <s v="Customer 1250"/>
    <s v="Office Chair"/>
    <x v="2"/>
    <n v="1"/>
    <n v="7500"/>
    <n v="0.15"/>
    <x v="5"/>
    <n v="6465.96"/>
    <n v="-90.96"/>
    <s v="Chennai"/>
    <x v="1"/>
    <x v="1"/>
    <x v="0"/>
    <x v="0"/>
  </r>
  <r>
    <s v="ORD0006"/>
    <x v="7"/>
    <s v="CUST1012"/>
    <s v="Customer 1012"/>
    <s v="Mixer Grinder"/>
    <x v="1"/>
    <n v="5"/>
    <n v="2800"/>
    <n v="0.05"/>
    <x v="6"/>
    <n v="11229.27"/>
    <n v="2070.73"/>
    <s v="Chennai"/>
    <x v="1"/>
    <x v="2"/>
    <x v="2"/>
    <x v="0"/>
  </r>
  <r>
    <s v="ORD0007"/>
    <x v="8"/>
    <s v="CUST1042"/>
    <s v="Customer 1042"/>
    <s v="Smartwatch"/>
    <x v="0"/>
    <n v="4"/>
    <n v="4500"/>
    <n v="0.1"/>
    <x v="7"/>
    <n v="13232.55"/>
    <n v="2967.45"/>
    <s v="Delhi"/>
    <x v="3"/>
    <x v="1"/>
    <x v="1"/>
    <x v="2"/>
  </r>
  <r>
    <s v="ORD0008"/>
    <x v="9"/>
    <s v="CUST1042"/>
    <s v="Customer 1042"/>
    <s v="Headphones"/>
    <x v="0"/>
    <n v="5"/>
    <n v="1800"/>
    <n v="0.05"/>
    <x v="8"/>
    <n v="6806.88"/>
    <n v="1743.12"/>
    <s v="Mumbai"/>
    <x v="0"/>
    <x v="1"/>
    <x v="0"/>
    <x v="0"/>
  </r>
  <r>
    <s v="ORD0009"/>
    <x v="10"/>
    <s v="CUST1103"/>
    <s v="Customer 1103"/>
    <s v="Coffee Maker"/>
    <x v="1"/>
    <n v="1"/>
    <n v="3500"/>
    <n v="0.05"/>
    <x v="9"/>
    <n v="2490.5300000000002"/>
    <n v="834.47"/>
    <s v="Delhi"/>
    <x v="3"/>
    <x v="1"/>
    <x v="0"/>
    <x v="2"/>
  </r>
  <r>
    <s v="ORD0010"/>
    <x v="11"/>
    <s v="CUST1037"/>
    <s v="Customer 1037"/>
    <s v="Coffee Maker"/>
    <x v="1"/>
    <n v="2"/>
    <n v="3500"/>
    <n v="0.15"/>
    <x v="10"/>
    <n v="4976.46"/>
    <n v="973.54"/>
    <s v="Mysuru"/>
    <x v="4"/>
    <x v="0"/>
    <x v="0"/>
    <x v="1"/>
  </r>
  <r>
    <s v="ORD0011"/>
    <x v="12"/>
    <s v="CUST1093"/>
    <s v="Customer 1093"/>
    <s v="Office Chair"/>
    <x v="2"/>
    <n v="5"/>
    <n v="7500"/>
    <n v="0.15"/>
    <x v="11"/>
    <n v="26266.639999999999"/>
    <n v="5608.36"/>
    <s v="Kolkata"/>
    <x v="5"/>
    <x v="1"/>
    <x v="0"/>
    <x v="0"/>
  </r>
  <r>
    <s v="ORD0013"/>
    <x v="13"/>
    <s v="CUST1249"/>
    <s v="Customer 1249"/>
    <s v="Book"/>
    <x v="4"/>
    <n v="5"/>
    <n v="450"/>
    <n v="0.15"/>
    <x v="12"/>
    <n v="1748.79"/>
    <n v="163.71"/>
    <s v="Pune"/>
    <x v="0"/>
    <x v="0"/>
    <x v="2"/>
    <x v="2"/>
  </r>
  <r>
    <s v="ORD0014"/>
    <x v="14"/>
    <s v="CUST1041"/>
    <s v="Customer 1041"/>
    <s v="Office Chair"/>
    <x v="2"/>
    <n v="3"/>
    <n v="7500"/>
    <n v="0"/>
    <x v="13"/>
    <n v="16973.02"/>
    <n v="5526.98"/>
    <s v="Kolkata"/>
    <x v="5"/>
    <x v="0"/>
    <x v="1"/>
    <x v="1"/>
  </r>
  <r>
    <s v="ORD0015"/>
    <x v="15"/>
    <s v="CUST1216"/>
    <s v="Customer 1216"/>
    <s v="Shoes"/>
    <x v="3"/>
    <n v="5"/>
    <n v="2800"/>
    <n v="0"/>
    <x v="14"/>
    <n v="11157.42"/>
    <n v="2842.58"/>
    <s v="Pune"/>
    <x v="0"/>
    <x v="1"/>
    <x v="4"/>
    <x v="0"/>
  </r>
  <r>
    <s v="ORD0016"/>
    <x v="16"/>
    <s v="CUST1154"/>
    <s v="Customer 1154"/>
    <s v="Mixer Grinder"/>
    <x v="1"/>
    <n v="2"/>
    <n v="2800"/>
    <n v="0.2"/>
    <x v="15"/>
    <n v="4057.51"/>
    <n v="422.49"/>
    <s v="Bengaluru"/>
    <x v="4"/>
    <x v="1"/>
    <x v="2"/>
    <x v="0"/>
  </r>
  <r>
    <s v="ORD0017"/>
    <x v="17"/>
    <s v="CUST1022"/>
    <s v="Customer 1022"/>
    <s v="Desk"/>
    <x v="2"/>
    <n v="2"/>
    <n v="6000"/>
    <n v="0"/>
    <x v="16"/>
    <n v="9820.06"/>
    <n v="2179.94"/>
    <s v="Chennai"/>
    <x v="1"/>
    <x v="2"/>
    <x v="0"/>
    <x v="0"/>
  </r>
  <r>
    <s v="ORD0018"/>
    <x v="18"/>
    <s v="CUST1136"/>
    <s v="Customer 1136"/>
    <s v="Backpack"/>
    <x v="5"/>
    <n v="4"/>
    <n v="1400"/>
    <n v="0.2"/>
    <x v="15"/>
    <n v="4763.6899999999996"/>
    <n v="-283.69"/>
    <s v="Pune"/>
    <x v="0"/>
    <x v="2"/>
    <x v="4"/>
    <x v="1"/>
  </r>
  <r>
    <s v="ORD0019"/>
    <x v="19"/>
    <s v="CUST1113"/>
    <s v="Customer 1113"/>
    <s v="T-Shirt"/>
    <x v="3"/>
    <n v="3"/>
    <n v="800"/>
    <n v="0.15"/>
    <x v="4"/>
    <n v="2056.59"/>
    <n v="-16.59"/>
    <s v="Delhi"/>
    <x v="3"/>
    <x v="1"/>
    <x v="2"/>
    <x v="0"/>
  </r>
  <r>
    <s v="ORD0020"/>
    <x v="20"/>
    <s v="CUST1151"/>
    <s v="Customer 1151"/>
    <s v="Jeans"/>
    <x v="3"/>
    <n v="1"/>
    <n v="1800"/>
    <n v="0.1"/>
    <x v="17"/>
    <n v="1261.17"/>
    <n v="358.83"/>
    <s v="Mumbai"/>
    <x v="0"/>
    <x v="1"/>
    <x v="2"/>
    <x v="0"/>
  </r>
  <r>
    <s v="ORD0021"/>
    <x v="21"/>
    <s v="CUST1072"/>
    <s v="Customer 1072"/>
    <s v="Headphones"/>
    <x v="0"/>
    <n v="1"/>
    <n v="1800"/>
    <n v="0.1"/>
    <x v="17"/>
    <n v="1446.96"/>
    <n v="173.04"/>
    <s v="Mumbai"/>
    <x v="0"/>
    <x v="2"/>
    <x v="0"/>
    <x v="0"/>
  </r>
  <r>
    <s v="ORD0022"/>
    <x v="22"/>
    <s v="CUST1025"/>
    <s v="Customer 1025"/>
    <s v="Keyboard"/>
    <x v="0"/>
    <n v="2"/>
    <n v="2200"/>
    <n v="0.15"/>
    <x v="18"/>
    <n v="2958.09"/>
    <n v="781.91"/>
    <s v="Mumbai"/>
    <x v="0"/>
    <x v="2"/>
    <x v="1"/>
    <x v="0"/>
  </r>
  <r>
    <s v="ORD0023"/>
    <x v="23"/>
    <s v="CUST1016"/>
    <s v="Customer 1016"/>
    <s v="Study Table Lamp"/>
    <x v="1"/>
    <n v="4"/>
    <n v="1200"/>
    <n v="0"/>
    <x v="19"/>
    <n v="3564.49"/>
    <n v="1235.51"/>
    <s v="Chennai"/>
    <x v="1"/>
    <x v="2"/>
    <x v="2"/>
    <x v="0"/>
  </r>
  <r>
    <s v="ORD0024"/>
    <x v="24"/>
    <s v="CUST1109"/>
    <s v="Customer 1109"/>
    <s v="T-Shirt"/>
    <x v="3"/>
    <n v="2"/>
    <n v="800"/>
    <n v="0.2"/>
    <x v="20"/>
    <n v="1107.52"/>
    <n v="172.48"/>
    <s v="Hyderabad"/>
    <x v="2"/>
    <x v="1"/>
    <x v="4"/>
    <x v="0"/>
  </r>
  <r>
    <s v="ORD0025"/>
    <x v="25"/>
    <s v="CUST1249"/>
    <s v="Customer 1249"/>
    <s v="Gaming Mouse"/>
    <x v="0"/>
    <n v="5"/>
    <n v="1600"/>
    <n v="0"/>
    <x v="21"/>
    <n v="5371.6"/>
    <n v="2628.4"/>
    <s v="Bengaluru"/>
    <x v="4"/>
    <x v="2"/>
    <x v="4"/>
    <x v="0"/>
  </r>
  <r>
    <s v="ORD0026"/>
    <x v="26"/>
    <s v="CUST1043"/>
    <s v="Customer 1043"/>
    <s v="Keyboard"/>
    <x v="0"/>
    <n v="4"/>
    <n v="2200"/>
    <n v="0.05"/>
    <x v="22"/>
    <n v="6487.04"/>
    <n v="1872.96"/>
    <s v="Bengaluru"/>
    <x v="4"/>
    <x v="1"/>
    <x v="1"/>
    <x v="0"/>
  </r>
  <r>
    <s v="ORD0027"/>
    <x v="27"/>
    <s v="CUST1040"/>
    <s v="Customer 1040"/>
    <s v="Desk"/>
    <x v="2"/>
    <n v="4"/>
    <n v="6000"/>
    <n v="0.2"/>
    <x v="23"/>
    <n v="16648.240000000002"/>
    <n v="2551.7600000000002"/>
    <s v="Mysuru"/>
    <x v="4"/>
    <x v="0"/>
    <x v="2"/>
    <x v="1"/>
  </r>
  <r>
    <s v="ORD0028"/>
    <x v="25"/>
    <s v="CUST1129"/>
    <s v="Customer 1129"/>
    <s v="Smartphone"/>
    <x v="0"/>
    <n v="3"/>
    <n v="22000"/>
    <n v="0"/>
    <x v="24"/>
    <n v="56856.3"/>
    <n v="9143.7000000000007"/>
    <s v="Mysuru"/>
    <x v="4"/>
    <x v="2"/>
    <x v="4"/>
    <x v="0"/>
  </r>
  <r>
    <s v="ORD0029"/>
    <x v="28"/>
    <s v="CUST1173"/>
    <s v="Customer 1173"/>
    <s v="Headphones"/>
    <x v="0"/>
    <n v="2"/>
    <n v="1800"/>
    <n v="0"/>
    <x v="25"/>
    <n v="3053.59"/>
    <n v="546.41"/>
    <s v="Chennai"/>
    <x v="1"/>
    <x v="0"/>
    <x v="2"/>
    <x v="1"/>
  </r>
  <r>
    <s v="ORD0030"/>
    <x v="29"/>
    <s v="CUST1108"/>
    <s v="Customer 1108"/>
    <s v="Jeans"/>
    <x v="3"/>
    <n v="5"/>
    <n v="1800"/>
    <n v="0.2"/>
    <x v="26"/>
    <n v="7210.76"/>
    <n v="-10.76"/>
    <s v="Chennai"/>
    <x v="1"/>
    <x v="0"/>
    <x v="0"/>
    <x v="0"/>
  </r>
  <r>
    <s v="ORD0031"/>
    <x v="30"/>
    <s v="CUST1102"/>
    <s v="Customer 1102"/>
    <s v="Office Chair"/>
    <x v="2"/>
    <n v="2"/>
    <n v="7500"/>
    <n v="0.1"/>
    <x v="27"/>
    <n v="10201.530000000001"/>
    <n v="3298.47"/>
    <s v="Pune"/>
    <x v="0"/>
    <x v="0"/>
    <x v="1"/>
    <x v="0"/>
  </r>
  <r>
    <s v="ORD0032"/>
    <x v="31"/>
    <s v="CUST1019"/>
    <s v="Customer 1019"/>
    <s v="Coffee Maker"/>
    <x v="1"/>
    <n v="1"/>
    <n v="3500"/>
    <n v="0"/>
    <x v="28"/>
    <n v="2707.8"/>
    <n v="792.2"/>
    <s v="Chennai"/>
    <x v="1"/>
    <x v="0"/>
    <x v="1"/>
    <x v="0"/>
  </r>
  <r>
    <s v="ORD0033"/>
    <x v="32"/>
    <s v="CUST1041"/>
    <s v="Customer 1041"/>
    <s v="Mixer Grinder"/>
    <x v="1"/>
    <n v="1"/>
    <n v="2800"/>
    <n v="0.05"/>
    <x v="29"/>
    <n v="2102.19"/>
    <n v="557.80999999999995"/>
    <s v="Pune"/>
    <x v="0"/>
    <x v="2"/>
    <x v="1"/>
    <x v="1"/>
  </r>
  <r>
    <s v="ORD0034"/>
    <x v="33"/>
    <s v="CUST1241"/>
    <s v="Customer 1241"/>
    <s v="Laptop"/>
    <x v="0"/>
    <n v="5"/>
    <n v="55000"/>
    <n v="0.1"/>
    <x v="30"/>
    <n v="234291.53"/>
    <n v="13208.47"/>
    <s v="Chennai"/>
    <x v="1"/>
    <x v="0"/>
    <x v="2"/>
    <x v="0"/>
  </r>
  <r>
    <s v="ORD0035"/>
    <x v="34"/>
    <s v="CUST1184"/>
    <s v="Customer 1184"/>
    <s v="Backpack"/>
    <x v="5"/>
    <n v="3"/>
    <n v="1400"/>
    <n v="0.1"/>
    <x v="31"/>
    <n v="3061.22"/>
    <n v="718.78"/>
    <s v="Mumbai"/>
    <x v="0"/>
    <x v="1"/>
    <x v="1"/>
    <x v="1"/>
  </r>
  <r>
    <s v="ORD0036"/>
    <x v="1"/>
    <s v="CUST1213"/>
    <s v="Customer 1213"/>
    <s v="Keyboard"/>
    <x v="0"/>
    <n v="3"/>
    <n v="2200"/>
    <n v="0"/>
    <x v="32"/>
    <n v="4710"/>
    <n v="1890"/>
    <s v="Kolkata"/>
    <x v="5"/>
    <x v="1"/>
    <x v="1"/>
    <x v="0"/>
  </r>
  <r>
    <s v="ORD0037"/>
    <x v="35"/>
    <s v="CUST1144"/>
    <s v="Customer 1144"/>
    <s v="Office Chair"/>
    <x v="2"/>
    <n v="2"/>
    <n v="7500"/>
    <n v="0.15"/>
    <x v="33"/>
    <n v="9783.36"/>
    <n v="2966.64"/>
    <s v="Kolkata"/>
    <x v="5"/>
    <x v="2"/>
    <x v="4"/>
    <x v="1"/>
  </r>
  <r>
    <s v="ORD0038"/>
    <x v="35"/>
    <s v="CUST1111"/>
    <s v="Customer 1111"/>
    <s v="Smartphone"/>
    <x v="0"/>
    <n v="3"/>
    <n v="22000"/>
    <n v="0.2"/>
    <x v="34"/>
    <n v="44834.62"/>
    <n v="7965.38"/>
    <s v="Hyderabad"/>
    <x v="2"/>
    <x v="2"/>
    <x v="1"/>
    <x v="0"/>
  </r>
  <r>
    <s v="ORD0039"/>
    <x v="36"/>
    <s v="CUST1091"/>
    <s v="Customer 1091"/>
    <s v="Mixer Grinder"/>
    <x v="1"/>
    <n v="2"/>
    <n v="2800"/>
    <n v="0.05"/>
    <x v="35"/>
    <n v="4644.79"/>
    <n v="675.21"/>
    <s v="Chennai"/>
    <x v="1"/>
    <x v="2"/>
    <x v="0"/>
    <x v="2"/>
  </r>
  <r>
    <s v="ORD0040"/>
    <x v="37"/>
    <s v="CUST1007"/>
    <s v="Customer 1007"/>
    <s v="Backpack"/>
    <x v="5"/>
    <n v="2"/>
    <n v="1400"/>
    <n v="0.05"/>
    <x v="29"/>
    <n v="1935.51"/>
    <n v="724.49"/>
    <s v="Kolkata"/>
    <x v="5"/>
    <x v="2"/>
    <x v="3"/>
    <x v="2"/>
  </r>
  <r>
    <s v="ORD0041"/>
    <x v="38"/>
    <s v="CUST1098"/>
    <s v="Customer 1098"/>
    <s v="Jeans"/>
    <x v="3"/>
    <n v="3"/>
    <n v="1800"/>
    <n v="0.05"/>
    <x v="36"/>
    <n v="4593.2299999999996"/>
    <n v="536.77"/>
    <s v="Chennai"/>
    <x v="1"/>
    <x v="2"/>
    <x v="4"/>
    <x v="0"/>
  </r>
  <r>
    <s v="ORD0042"/>
    <x v="39"/>
    <s v="CUST1007"/>
    <s v="Customer 1007"/>
    <s v="Gaming Mouse"/>
    <x v="0"/>
    <n v="3"/>
    <n v="1600"/>
    <n v="0.1"/>
    <x v="37"/>
    <n v="3848.68"/>
    <n v="471.32"/>
    <s v="Mumbai"/>
    <x v="0"/>
    <x v="0"/>
    <x v="1"/>
    <x v="0"/>
  </r>
  <r>
    <s v="ORD0043"/>
    <x v="40"/>
    <s v="CUST1174"/>
    <s v="Customer 1174"/>
    <s v="Headphones"/>
    <x v="0"/>
    <n v="3"/>
    <n v="1800"/>
    <n v="0.1"/>
    <x v="38"/>
    <n v="4728.59"/>
    <n v="131.41"/>
    <s v="Kolkata"/>
    <x v="5"/>
    <x v="2"/>
    <x v="1"/>
    <x v="0"/>
  </r>
  <r>
    <s v="ORD0044"/>
    <x v="41"/>
    <s v="CUST1010"/>
    <s v="Customer 1010"/>
    <s v="Smartwatch"/>
    <x v="0"/>
    <n v="3"/>
    <n v="4500"/>
    <n v="0.05"/>
    <x v="39"/>
    <n v="9111.59"/>
    <n v="3713.41"/>
    <s v="Pune"/>
    <x v="0"/>
    <x v="1"/>
    <x v="1"/>
    <x v="2"/>
  </r>
  <r>
    <s v="ORD0045"/>
    <x v="42"/>
    <s v="CUST1099"/>
    <s v="Customer 1099"/>
    <s v="Coffee Maker"/>
    <x v="1"/>
    <n v="4"/>
    <n v="3500"/>
    <n v="0.2"/>
    <x v="40"/>
    <n v="11996.41"/>
    <n v="-796.41"/>
    <s v="Chennai"/>
    <x v="1"/>
    <x v="0"/>
    <x v="1"/>
    <x v="0"/>
  </r>
  <r>
    <s v="ORD0046"/>
    <x v="43"/>
    <s v="CUST1094"/>
    <s v="Customer 1094"/>
    <s v="Study Table Lamp"/>
    <x v="1"/>
    <n v="1"/>
    <n v="1200"/>
    <n v="0.2"/>
    <x v="41"/>
    <n v="899.04"/>
    <n v="60.96"/>
    <s v="Mumbai"/>
    <x v="0"/>
    <x v="2"/>
    <x v="1"/>
    <x v="1"/>
  </r>
  <r>
    <s v="ORD0047"/>
    <x v="44"/>
    <s v="CUST1171"/>
    <s v="Customer 1171"/>
    <s v="Coffee Maker"/>
    <x v="1"/>
    <n v="1"/>
    <n v="3500"/>
    <n v="0.1"/>
    <x v="42"/>
    <n v="2603.7600000000002"/>
    <n v="546.24"/>
    <s v="Pune"/>
    <x v="0"/>
    <x v="1"/>
    <x v="1"/>
    <x v="1"/>
  </r>
  <r>
    <s v="ORD0048"/>
    <x v="45"/>
    <s v="CUST1174"/>
    <s v="Customer 1174"/>
    <s v="Backpack"/>
    <x v="5"/>
    <n v="2"/>
    <n v="1400"/>
    <n v="0.15"/>
    <x v="43"/>
    <n v="2301.8000000000002"/>
    <n v="78.2"/>
    <s v="Kolkata"/>
    <x v="5"/>
    <x v="0"/>
    <x v="0"/>
    <x v="1"/>
  </r>
  <r>
    <s v="ORD0049"/>
    <x v="46"/>
    <s v="CUST1074"/>
    <s v="Customer 1074"/>
    <s v="Desk"/>
    <x v="2"/>
    <n v="4"/>
    <n v="6000"/>
    <n v="0.2"/>
    <x v="23"/>
    <n v="16760.21"/>
    <n v="2439.79"/>
    <s v="Pune"/>
    <x v="0"/>
    <x v="0"/>
    <x v="0"/>
    <x v="2"/>
  </r>
  <r>
    <s v="ORD0050"/>
    <x v="47"/>
    <s v="CUST1131"/>
    <s v="Customer 1131"/>
    <s v="Coffee Maker"/>
    <x v="1"/>
    <n v="4"/>
    <n v="3500"/>
    <n v="0.15"/>
    <x v="44"/>
    <n v="10623.66"/>
    <n v="1276.3399999999999"/>
    <s v="Mumbai"/>
    <x v="0"/>
    <x v="1"/>
    <x v="4"/>
    <x v="2"/>
  </r>
  <r>
    <s v="ORD0051"/>
    <x v="33"/>
    <s v="CUST1024"/>
    <s v="Customer 1024"/>
    <s v="Headphones"/>
    <x v="0"/>
    <n v="3"/>
    <n v="1800"/>
    <n v="0.2"/>
    <x v="37"/>
    <n v="4526.4799999999996"/>
    <n v="-206.48"/>
    <s v="Delhi"/>
    <x v="3"/>
    <x v="1"/>
    <x v="1"/>
    <x v="0"/>
  </r>
  <r>
    <s v="ORD0052"/>
    <x v="48"/>
    <s v="CUST1122"/>
    <s v="Customer 1122"/>
    <s v="T-Shirt"/>
    <x v="3"/>
    <n v="2"/>
    <n v="800"/>
    <n v="0"/>
    <x v="45"/>
    <n v="1264.95"/>
    <n v="335.05"/>
    <s v="Mumbai"/>
    <x v="0"/>
    <x v="1"/>
    <x v="3"/>
    <x v="0"/>
  </r>
  <r>
    <s v="ORD0053"/>
    <x v="49"/>
    <s v="CUST1038"/>
    <s v="Customer 1038"/>
    <s v="T-Shirt"/>
    <x v="3"/>
    <n v="4"/>
    <n v="800"/>
    <n v="0.15"/>
    <x v="46"/>
    <n v="2562.86"/>
    <n v="157.13999999999999"/>
    <s v="Mumbai"/>
    <x v="0"/>
    <x v="1"/>
    <x v="2"/>
    <x v="0"/>
  </r>
  <r>
    <s v="ORD0054"/>
    <x v="50"/>
    <s v="CUST1143"/>
    <s v="Customer 1143"/>
    <s v="Jeans"/>
    <x v="3"/>
    <n v="2"/>
    <n v="1800"/>
    <n v="0.2"/>
    <x v="47"/>
    <n v="2546.34"/>
    <n v="333.66"/>
    <s v="Bengaluru"/>
    <x v="4"/>
    <x v="2"/>
    <x v="3"/>
    <x v="0"/>
  </r>
  <r>
    <s v="ORD0055"/>
    <x v="28"/>
    <s v="CUST1244"/>
    <s v="Customer 1244"/>
    <s v="Gaming Mouse"/>
    <x v="0"/>
    <n v="5"/>
    <n v="1600"/>
    <n v="0.2"/>
    <x v="48"/>
    <n v="6589.66"/>
    <n v="-189.66"/>
    <s v="Delhi"/>
    <x v="3"/>
    <x v="1"/>
    <x v="0"/>
    <x v="2"/>
  </r>
  <r>
    <s v="ORD0056"/>
    <x v="51"/>
    <s v="CUST1116"/>
    <s v="Customer 1116"/>
    <s v="Study Table Lamp"/>
    <x v="1"/>
    <n v="5"/>
    <n v="1200"/>
    <n v="0.15"/>
    <x v="49"/>
    <n v="4257.68"/>
    <n v="842.32"/>
    <s v="Mysuru"/>
    <x v="4"/>
    <x v="2"/>
    <x v="1"/>
    <x v="1"/>
  </r>
  <r>
    <s v="ORD0057"/>
    <x v="52"/>
    <s v="CUST1183"/>
    <s v="Customer 1183"/>
    <s v="Keyboard"/>
    <x v="0"/>
    <n v="2"/>
    <n v="2200"/>
    <n v="0.1"/>
    <x v="50"/>
    <n v="3149.16"/>
    <n v="810.84"/>
    <s v="Chennai"/>
    <x v="1"/>
    <x v="1"/>
    <x v="1"/>
    <x v="0"/>
  </r>
  <r>
    <s v="ORD0058"/>
    <x v="53"/>
    <s v="CUST1178"/>
    <s v="Customer 1178"/>
    <s v="Headphones"/>
    <x v="0"/>
    <n v="2"/>
    <n v="1800"/>
    <n v="0.05"/>
    <x v="51"/>
    <n v="2466.52"/>
    <n v="953.48"/>
    <s v="Unknown"/>
    <x v="6"/>
    <x v="2"/>
    <x v="2"/>
    <x v="0"/>
  </r>
  <r>
    <s v="ORD0059"/>
    <x v="54"/>
    <s v="CUST1016"/>
    <s v="Customer 1016"/>
    <s v="Study Table Lamp"/>
    <x v="1"/>
    <n v="3"/>
    <n v="1200"/>
    <n v="0.2"/>
    <x v="47"/>
    <n v="2511.2600000000002"/>
    <n v="368.74"/>
    <s v="Kolkata"/>
    <x v="5"/>
    <x v="2"/>
    <x v="3"/>
    <x v="1"/>
  </r>
  <r>
    <s v="ORD0060"/>
    <x v="55"/>
    <s v="CUST1242"/>
    <s v="Customer 1242"/>
    <s v="Laptop"/>
    <x v="0"/>
    <n v="5"/>
    <n v="55000"/>
    <n v="0.15"/>
    <x v="52"/>
    <n v="200998.74"/>
    <n v="32751.26"/>
    <s v="Bengaluru"/>
    <x v="4"/>
    <x v="2"/>
    <x v="3"/>
    <x v="1"/>
  </r>
  <r>
    <s v="ORD0061"/>
    <x v="56"/>
    <s v="CUST1125"/>
    <s v="Customer 1125"/>
    <s v="Jeans"/>
    <x v="3"/>
    <n v="4"/>
    <n v="1800"/>
    <n v="0.05"/>
    <x v="53"/>
    <n v="4728.07"/>
    <n v="2111.9299999999998"/>
    <s v="Kolkata"/>
    <x v="5"/>
    <x v="0"/>
    <x v="3"/>
    <x v="2"/>
  </r>
  <r>
    <s v="ORD0062"/>
    <x v="57"/>
    <s v="CUST1233"/>
    <s v="Customer 1233"/>
    <s v="Shoes"/>
    <x v="3"/>
    <n v="4"/>
    <n v="2800"/>
    <n v="0.05"/>
    <x v="54"/>
    <n v="8295"/>
    <n v="2345"/>
    <s v="Bengaluru"/>
    <x v="4"/>
    <x v="1"/>
    <x v="2"/>
    <x v="0"/>
  </r>
  <r>
    <s v="ORD0063"/>
    <x v="58"/>
    <s v="CUST1067"/>
    <s v="Customer 1067"/>
    <s v="Study Table Lamp"/>
    <x v="1"/>
    <n v="2"/>
    <n v="1200"/>
    <n v="0.15"/>
    <x v="4"/>
    <n v="1769.27"/>
    <n v="270.73"/>
    <s v="Bengaluru"/>
    <x v="4"/>
    <x v="1"/>
    <x v="3"/>
    <x v="0"/>
  </r>
  <r>
    <s v="ORD0064"/>
    <x v="59"/>
    <s v="CUST1214"/>
    <s v="Customer 1214"/>
    <s v="Coffee Maker"/>
    <x v="1"/>
    <n v="4"/>
    <n v="3500"/>
    <n v="0.1"/>
    <x v="55"/>
    <n v="9363.74"/>
    <n v="3236.26"/>
    <s v="Pune"/>
    <x v="0"/>
    <x v="1"/>
    <x v="0"/>
    <x v="0"/>
  </r>
  <r>
    <s v="ORD0065"/>
    <x v="60"/>
    <s v="CUST1194"/>
    <s v="Customer 1194"/>
    <s v="Mixer Grinder"/>
    <x v="1"/>
    <n v="2"/>
    <n v="2800"/>
    <n v="0"/>
    <x v="56"/>
    <n v="3679.97"/>
    <n v="1920.03"/>
    <s v="Bengaluru"/>
    <x v="4"/>
    <x v="2"/>
    <x v="4"/>
    <x v="0"/>
  </r>
  <r>
    <s v="ORD0066"/>
    <x v="61"/>
    <s v="CUST1145"/>
    <s v="Customer 1145"/>
    <s v="Backpack"/>
    <x v="5"/>
    <n v="2"/>
    <n v="1400"/>
    <n v="0.05"/>
    <x v="29"/>
    <n v="2430.36"/>
    <n v="229.64"/>
    <s v="Chennai"/>
    <x v="1"/>
    <x v="0"/>
    <x v="1"/>
    <x v="0"/>
  </r>
  <r>
    <s v="ORD0067"/>
    <x v="62"/>
    <s v="CUST1247"/>
    <s v="Customer 1247"/>
    <s v="Shoes"/>
    <x v="3"/>
    <n v="5"/>
    <n v="2800"/>
    <n v="0.2"/>
    <x v="40"/>
    <n v="10101.549999999999"/>
    <n v="1098.45"/>
    <s v="Hyderabad"/>
    <x v="2"/>
    <x v="2"/>
    <x v="2"/>
    <x v="0"/>
  </r>
  <r>
    <s v="ORD0068"/>
    <x v="63"/>
    <s v="CUST1027"/>
    <s v="Customer 1027"/>
    <s v="Book"/>
    <x v="4"/>
    <n v="4"/>
    <n v="450"/>
    <n v="0.05"/>
    <x v="57"/>
    <n v="1458.64"/>
    <n v="251.36"/>
    <s v="Mumbai"/>
    <x v="0"/>
    <x v="2"/>
    <x v="0"/>
    <x v="0"/>
  </r>
  <r>
    <s v="ORD0069"/>
    <x v="64"/>
    <s v="CUST1018"/>
    <s v="Customer 1018"/>
    <s v="Smartphone"/>
    <x v="0"/>
    <n v="3"/>
    <n v="22000"/>
    <n v="0.2"/>
    <x v="34"/>
    <n v="50580.480000000003"/>
    <n v="2219.52"/>
    <s v="Delhi"/>
    <x v="3"/>
    <x v="1"/>
    <x v="2"/>
    <x v="0"/>
  </r>
  <r>
    <s v="ORD0070"/>
    <x v="4"/>
    <s v="CUST1182"/>
    <s v="Customer 1182"/>
    <s v="Keyboard"/>
    <x v="0"/>
    <n v="1"/>
    <n v="2200"/>
    <n v="0.15"/>
    <x v="58"/>
    <n v="1507.41"/>
    <n v="362.59"/>
    <s v="Mysuru"/>
    <x v="4"/>
    <x v="0"/>
    <x v="0"/>
    <x v="2"/>
  </r>
  <r>
    <s v="ORD0071"/>
    <x v="65"/>
    <s v="CUST1112"/>
    <s v="Customer 1112"/>
    <s v="Office Chair"/>
    <x v="2"/>
    <n v="5"/>
    <n v="7500"/>
    <n v="0.2"/>
    <x v="59"/>
    <n v="31496.959999999999"/>
    <n v="-1496.96"/>
    <s v="Mysuru"/>
    <x v="4"/>
    <x v="0"/>
    <x v="1"/>
    <x v="0"/>
  </r>
  <r>
    <s v="ORD0072"/>
    <x v="66"/>
    <s v="CUST1193"/>
    <s v="Customer 1193"/>
    <s v="Jeans"/>
    <x v="3"/>
    <n v="1"/>
    <n v="1800"/>
    <n v="0.1"/>
    <x v="17"/>
    <n v="1362.39"/>
    <n v="257.61"/>
    <s v="Mumbai"/>
    <x v="0"/>
    <x v="2"/>
    <x v="3"/>
    <x v="0"/>
  </r>
  <r>
    <s v="ORD0073"/>
    <x v="58"/>
    <s v="CUST1055"/>
    <s v="Customer 1055"/>
    <s v="Laptop"/>
    <x v="0"/>
    <n v="4"/>
    <n v="55000"/>
    <n v="0.1"/>
    <x v="60"/>
    <n v="160954.14000000001"/>
    <n v="37045.86"/>
    <s v="Mysuru"/>
    <x v="4"/>
    <x v="2"/>
    <x v="1"/>
    <x v="0"/>
  </r>
  <r>
    <s v="ORD0074"/>
    <x v="67"/>
    <s v="CUST1022"/>
    <s v="Customer 1022"/>
    <s v="Office Chair"/>
    <x v="2"/>
    <n v="5"/>
    <n v="7500"/>
    <n v="0"/>
    <x v="61"/>
    <n v="26456.7"/>
    <n v="11043.3"/>
    <s v="Mumbai"/>
    <x v="0"/>
    <x v="2"/>
    <x v="3"/>
    <x v="1"/>
  </r>
  <r>
    <s v="ORD0075"/>
    <x v="24"/>
    <s v="CUST1024"/>
    <s v="Customer 1024"/>
    <s v="Jeans"/>
    <x v="3"/>
    <n v="4"/>
    <n v="1800"/>
    <n v="0.15"/>
    <x v="62"/>
    <n v="5167.25"/>
    <n v="952.75"/>
    <s v="Bengaluru"/>
    <x v="4"/>
    <x v="0"/>
    <x v="4"/>
    <x v="0"/>
  </r>
  <r>
    <s v="ORD0076"/>
    <x v="16"/>
    <s v="CUST1109"/>
    <s v="Customer 1109"/>
    <s v="Mixer Grinder"/>
    <x v="1"/>
    <n v="4"/>
    <n v="2800"/>
    <n v="0.2"/>
    <x v="63"/>
    <n v="9847.32"/>
    <n v="-887.32"/>
    <s v="Delhi"/>
    <x v="3"/>
    <x v="2"/>
    <x v="1"/>
    <x v="0"/>
  </r>
  <r>
    <s v="ORD0077"/>
    <x v="68"/>
    <s v="CUST1031"/>
    <s v="Customer 1031"/>
    <s v="Gaming Mouse"/>
    <x v="0"/>
    <n v="3"/>
    <n v="1600"/>
    <n v="0.1"/>
    <x v="37"/>
    <n v="3916.3"/>
    <n v="403.7"/>
    <s v="Mumbai"/>
    <x v="0"/>
    <x v="0"/>
    <x v="2"/>
    <x v="2"/>
  </r>
  <r>
    <s v="ORD0078"/>
    <x v="65"/>
    <s v="CUST1186"/>
    <s v="Customer 1186"/>
    <s v="Shoes"/>
    <x v="3"/>
    <n v="2"/>
    <n v="2800"/>
    <n v="0.05"/>
    <x v="35"/>
    <n v="4399.3900000000003"/>
    <n v="920.61"/>
    <s v="Pune"/>
    <x v="0"/>
    <x v="0"/>
    <x v="0"/>
    <x v="0"/>
  </r>
  <r>
    <s v="ORD0079"/>
    <x v="39"/>
    <s v="CUST1046"/>
    <s v="Customer 1046"/>
    <s v="Smartwatch"/>
    <x v="0"/>
    <n v="2"/>
    <n v="4500"/>
    <n v="0.1"/>
    <x v="64"/>
    <n v="6475.69"/>
    <n v="1624.31"/>
    <s v="Delhi"/>
    <x v="3"/>
    <x v="0"/>
    <x v="0"/>
    <x v="0"/>
  </r>
  <r>
    <s v="ORD0080"/>
    <x v="69"/>
    <s v="CUST1179"/>
    <s v="Customer 1179"/>
    <s v="Office Chair"/>
    <x v="2"/>
    <n v="1"/>
    <n v="7500"/>
    <n v="0"/>
    <x v="65"/>
    <n v="6503.55"/>
    <n v="996.45"/>
    <s v="Pune"/>
    <x v="0"/>
    <x v="1"/>
    <x v="3"/>
    <x v="0"/>
  </r>
  <r>
    <s v="ORD0081"/>
    <x v="70"/>
    <s v="CUST1113"/>
    <s v="Customer 1113"/>
    <s v="Laptop"/>
    <x v="0"/>
    <n v="5"/>
    <n v="55000"/>
    <n v="0.1"/>
    <x v="30"/>
    <n v="200299.65"/>
    <n v="47200.35"/>
    <s v="Mysuru"/>
    <x v="4"/>
    <x v="1"/>
    <x v="1"/>
    <x v="0"/>
  </r>
  <r>
    <s v="ORD0082"/>
    <x v="71"/>
    <s v="CUST1148"/>
    <s v="Customer 1148"/>
    <s v="Smartwatch"/>
    <x v="0"/>
    <n v="1"/>
    <n v="4500"/>
    <n v="0.15"/>
    <x v="66"/>
    <n v="3576.48"/>
    <n v="248.52"/>
    <s v="Chennai"/>
    <x v="1"/>
    <x v="0"/>
    <x v="4"/>
    <x v="0"/>
  </r>
  <r>
    <s v="ORD0083"/>
    <x v="72"/>
    <s v="CUST1156"/>
    <s v="Customer 1156"/>
    <s v="Desk"/>
    <x v="2"/>
    <n v="1"/>
    <n v="6000"/>
    <n v="0.05"/>
    <x v="67"/>
    <n v="4722.66"/>
    <n v="977.34"/>
    <s v="Kolkata"/>
    <x v="5"/>
    <x v="1"/>
    <x v="4"/>
    <x v="1"/>
  </r>
  <r>
    <s v="ORD0084"/>
    <x v="73"/>
    <s v="CUST1079"/>
    <s v="Customer 1079"/>
    <s v="Book"/>
    <x v="4"/>
    <n v="4"/>
    <n v="450"/>
    <n v="0.15"/>
    <x v="68"/>
    <n v="1405.41"/>
    <n v="124.59"/>
    <s v="Kolkata"/>
    <x v="5"/>
    <x v="0"/>
    <x v="0"/>
    <x v="2"/>
  </r>
  <r>
    <s v="ORD0085"/>
    <x v="74"/>
    <s v="CUST1041"/>
    <s v="Customer 1041"/>
    <s v="Smartwatch"/>
    <x v="0"/>
    <n v="2"/>
    <n v="4500"/>
    <n v="0.05"/>
    <x v="8"/>
    <n v="6346.52"/>
    <n v="2203.48"/>
    <s v="Chennai"/>
    <x v="1"/>
    <x v="2"/>
    <x v="2"/>
    <x v="0"/>
  </r>
  <r>
    <s v="ORD0086"/>
    <x v="75"/>
    <s v="CUST1075"/>
    <s v="Customer 1075"/>
    <s v="Laptop"/>
    <x v="0"/>
    <n v="4"/>
    <n v="55000"/>
    <n v="0.15"/>
    <x v="69"/>
    <n v="144651.57999999999"/>
    <n v="42348.42"/>
    <s v="Mysuru"/>
    <x v="4"/>
    <x v="1"/>
    <x v="1"/>
    <x v="2"/>
  </r>
  <r>
    <s v="ORD0087"/>
    <x v="74"/>
    <s v="CUST1109"/>
    <s v="Customer 1109"/>
    <s v="Gaming Mouse"/>
    <x v="0"/>
    <n v="1"/>
    <n v="1600"/>
    <n v="0.05"/>
    <x v="70"/>
    <n v="1082.24"/>
    <n v="437.76"/>
    <s v="Mumbai"/>
    <x v="0"/>
    <x v="0"/>
    <x v="4"/>
    <x v="0"/>
  </r>
  <r>
    <s v="ORD0088"/>
    <x v="18"/>
    <s v="CUST1153"/>
    <s v="Customer 1153"/>
    <s v="Backpack"/>
    <x v="5"/>
    <n v="1"/>
    <n v="1400"/>
    <n v="0"/>
    <x v="71"/>
    <n v="1151.1600000000001"/>
    <n v="248.84"/>
    <s v="Pune"/>
    <x v="0"/>
    <x v="0"/>
    <x v="1"/>
    <x v="0"/>
  </r>
  <r>
    <s v="ORD0089"/>
    <x v="76"/>
    <s v="CUST1242"/>
    <s v="Customer 1242"/>
    <s v="Smartwatch"/>
    <x v="0"/>
    <n v="4"/>
    <n v="4500"/>
    <n v="0.1"/>
    <x v="7"/>
    <n v="12827.1"/>
    <n v="3372.9"/>
    <s v="Kolkata"/>
    <x v="5"/>
    <x v="1"/>
    <x v="3"/>
    <x v="0"/>
  </r>
  <r>
    <s v="ORD0090"/>
    <x v="77"/>
    <s v="CUST1155"/>
    <s v="Customer 1155"/>
    <s v="Headphones"/>
    <x v="0"/>
    <n v="5"/>
    <n v="1800"/>
    <n v="0"/>
    <x v="72"/>
    <n v="6368.26"/>
    <n v="2631.74"/>
    <s v="Delhi"/>
    <x v="3"/>
    <x v="2"/>
    <x v="4"/>
    <x v="2"/>
  </r>
  <r>
    <s v="ORD0091"/>
    <x v="29"/>
    <s v="CUST1121"/>
    <s v="Customer 1121"/>
    <s v="Laptop"/>
    <x v="0"/>
    <n v="3"/>
    <n v="55000"/>
    <n v="0.2"/>
    <x v="73"/>
    <n v="126944.68"/>
    <n v="5055.32"/>
    <s v="Hyderabad"/>
    <x v="2"/>
    <x v="0"/>
    <x v="1"/>
    <x v="0"/>
  </r>
  <r>
    <s v="ORD0092"/>
    <x v="70"/>
    <s v="CUST1105"/>
    <s v="Customer 1105"/>
    <s v="Study Table Lamp"/>
    <x v="1"/>
    <n v="4"/>
    <n v="1200"/>
    <n v="0"/>
    <x v="19"/>
    <n v="3487.97"/>
    <n v="1312.03"/>
    <s v="Delhi"/>
    <x v="3"/>
    <x v="1"/>
    <x v="2"/>
    <x v="0"/>
  </r>
  <r>
    <s v="ORD0093"/>
    <x v="78"/>
    <s v="CUST1209"/>
    <s v="Customer 1209"/>
    <s v="Coffee Maker"/>
    <x v="1"/>
    <n v="4"/>
    <n v="3500"/>
    <n v="0.15"/>
    <x v="44"/>
    <n v="11548.81"/>
    <n v="351.19"/>
    <s v="Kolkata"/>
    <x v="5"/>
    <x v="1"/>
    <x v="3"/>
    <x v="0"/>
  </r>
  <r>
    <s v="ORD0094"/>
    <x v="79"/>
    <s v="CUST1222"/>
    <s v="Customer 1222"/>
    <s v="Coffee Maker"/>
    <x v="1"/>
    <n v="3"/>
    <n v="3500"/>
    <n v="0.1"/>
    <x v="74"/>
    <n v="8067.75"/>
    <n v="1382.25"/>
    <s v="Kolkata"/>
    <x v="5"/>
    <x v="0"/>
    <x v="0"/>
    <x v="0"/>
  </r>
  <r>
    <s v="ORD0095"/>
    <x v="80"/>
    <s v="CUST1160"/>
    <s v="Customer 1160"/>
    <s v="Study Table Lamp"/>
    <x v="1"/>
    <n v="1"/>
    <n v="1200"/>
    <n v="0.05"/>
    <x v="75"/>
    <n v="988.78"/>
    <n v="151.22"/>
    <s v="Delhi"/>
    <x v="3"/>
    <x v="2"/>
    <x v="3"/>
    <x v="0"/>
  </r>
  <r>
    <s v="ORD0096"/>
    <x v="81"/>
    <s v="CUST1113"/>
    <s v="Customer 1113"/>
    <s v="T-Shirt"/>
    <x v="3"/>
    <n v="3"/>
    <n v="800"/>
    <n v="0.2"/>
    <x v="76"/>
    <n v="2046.23"/>
    <n v="-126.23"/>
    <s v="Pune"/>
    <x v="0"/>
    <x v="1"/>
    <x v="2"/>
    <x v="0"/>
  </r>
  <r>
    <s v="ORD0097"/>
    <x v="35"/>
    <s v="CUST1142"/>
    <s v="Customer 1142"/>
    <s v="Jeans"/>
    <x v="3"/>
    <n v="2"/>
    <n v="1800"/>
    <n v="0.1"/>
    <x v="77"/>
    <n v="2677.82"/>
    <n v="562.17999999999995"/>
    <s v="Bengaluru"/>
    <x v="4"/>
    <x v="2"/>
    <x v="2"/>
    <x v="0"/>
  </r>
  <r>
    <s v="ORD0098"/>
    <x v="82"/>
    <s v="CUST1107"/>
    <s v="Customer 1107"/>
    <s v="Smartwatch"/>
    <x v="0"/>
    <n v="2"/>
    <n v="4500"/>
    <n v="0.15"/>
    <x v="78"/>
    <n v="7577.88"/>
    <n v="72.12"/>
    <s v="Pune"/>
    <x v="0"/>
    <x v="2"/>
    <x v="4"/>
    <x v="0"/>
  </r>
  <r>
    <s v="ORD0099"/>
    <x v="83"/>
    <s v="CUST1222"/>
    <s v="Customer 1222"/>
    <s v="Backpack"/>
    <x v="5"/>
    <n v="4"/>
    <n v="1400"/>
    <n v="0.05"/>
    <x v="35"/>
    <n v="3729.92"/>
    <n v="1590.08"/>
    <s v="Hyderabad"/>
    <x v="2"/>
    <x v="0"/>
    <x v="1"/>
    <x v="1"/>
  </r>
  <r>
    <s v="ORD0100"/>
    <x v="73"/>
    <s v="CUST1222"/>
    <s v="Customer 1222"/>
    <s v="Office Chair"/>
    <x v="2"/>
    <n v="1"/>
    <n v="7500"/>
    <n v="0.1"/>
    <x v="79"/>
    <n v="5131.33"/>
    <n v="1618.67"/>
    <s v="Mysuru"/>
    <x v="4"/>
    <x v="1"/>
    <x v="3"/>
    <x v="0"/>
  </r>
  <r>
    <s v="ORD0101"/>
    <x v="84"/>
    <s v="CUST1239"/>
    <s v="Customer 1239"/>
    <s v="Coffee Maker"/>
    <x v="1"/>
    <n v="5"/>
    <n v="3500"/>
    <n v="0.2"/>
    <x v="14"/>
    <n v="12670.15"/>
    <n v="1329.85"/>
    <s v="Mysuru"/>
    <x v="4"/>
    <x v="2"/>
    <x v="4"/>
    <x v="1"/>
  </r>
  <r>
    <s v="ORD0102"/>
    <x v="85"/>
    <s v="CUST1191"/>
    <s v="Customer 1191"/>
    <s v="Book"/>
    <x v="4"/>
    <n v="2"/>
    <n v="450"/>
    <n v="0.15"/>
    <x v="80"/>
    <n v="682.91"/>
    <n v="82.09"/>
    <s v="Delhi"/>
    <x v="3"/>
    <x v="2"/>
    <x v="3"/>
    <x v="2"/>
  </r>
  <r>
    <s v="ORD0103"/>
    <x v="86"/>
    <s v="CUST1223"/>
    <s v="Customer 1223"/>
    <s v="Backpack"/>
    <x v="5"/>
    <n v="4"/>
    <n v="1400"/>
    <n v="0"/>
    <x v="56"/>
    <n v="3769.27"/>
    <n v="1830.73"/>
    <s v="Delhi"/>
    <x v="3"/>
    <x v="2"/>
    <x v="2"/>
    <x v="1"/>
  </r>
  <r>
    <s v="ORD0104"/>
    <x v="87"/>
    <s v="CUST1020"/>
    <s v="Customer 1020"/>
    <s v="Gaming Mouse"/>
    <x v="0"/>
    <n v="1"/>
    <n v="1600"/>
    <n v="0.05"/>
    <x v="70"/>
    <n v="1212.77"/>
    <n v="307.23"/>
    <s v="Hyderabad"/>
    <x v="2"/>
    <x v="0"/>
    <x v="1"/>
    <x v="1"/>
  </r>
  <r>
    <s v="ORD0105"/>
    <x v="88"/>
    <s v="CUST1245"/>
    <s v="Customer 1245"/>
    <s v="Book"/>
    <x v="4"/>
    <n v="1"/>
    <n v="450"/>
    <n v="0.1"/>
    <x v="81"/>
    <n v="325.27"/>
    <n v="79.73"/>
    <s v="Kolkata"/>
    <x v="5"/>
    <x v="2"/>
    <x v="3"/>
    <x v="1"/>
  </r>
  <r>
    <s v="ORD0106"/>
    <x v="89"/>
    <s v="CUST1059"/>
    <s v="Customer 1059"/>
    <s v="Smartphone"/>
    <x v="0"/>
    <n v="5"/>
    <n v="22000"/>
    <n v="0"/>
    <x v="82"/>
    <n v="90393.19"/>
    <n v="19606.810000000001"/>
    <s v="Pune"/>
    <x v="0"/>
    <x v="2"/>
    <x v="2"/>
    <x v="2"/>
  </r>
  <r>
    <s v="ORD0107"/>
    <x v="90"/>
    <s v="CUST1232"/>
    <s v="Customer 1232"/>
    <s v="Smartwatch"/>
    <x v="0"/>
    <n v="4"/>
    <n v="4500"/>
    <n v="0.05"/>
    <x v="83"/>
    <n v="11819.84"/>
    <n v="5280.16"/>
    <s v="Pune"/>
    <x v="0"/>
    <x v="0"/>
    <x v="2"/>
    <x v="0"/>
  </r>
  <r>
    <s v="ORD0108"/>
    <x v="91"/>
    <s v="CUST1136"/>
    <s v="Customer 1136"/>
    <s v="Mixer Grinder"/>
    <x v="1"/>
    <n v="3"/>
    <n v="2800"/>
    <n v="0.15"/>
    <x v="84"/>
    <n v="6256.08"/>
    <n v="883.92"/>
    <s v="Mumbai"/>
    <x v="0"/>
    <x v="1"/>
    <x v="4"/>
    <x v="0"/>
  </r>
  <r>
    <s v="ORD0109"/>
    <x v="92"/>
    <s v="CUST1128"/>
    <s v="Customer 1128"/>
    <s v="Shoes"/>
    <x v="3"/>
    <n v="1"/>
    <n v="2800"/>
    <n v="0.2"/>
    <x v="85"/>
    <n v="2407.86"/>
    <n v="-167.86"/>
    <s v="Mumbai"/>
    <x v="0"/>
    <x v="2"/>
    <x v="4"/>
    <x v="0"/>
  </r>
  <r>
    <s v="ORD0110"/>
    <x v="36"/>
    <s v="CUST1231"/>
    <s v="Customer 1231"/>
    <s v="Office Chair"/>
    <x v="2"/>
    <n v="4"/>
    <n v="7500"/>
    <n v="0.1"/>
    <x v="86"/>
    <n v="25051.97"/>
    <n v="1948.03"/>
    <s v="Bengaluru"/>
    <x v="4"/>
    <x v="0"/>
    <x v="0"/>
    <x v="0"/>
  </r>
  <r>
    <s v="ORD0111"/>
    <x v="93"/>
    <s v="CUST1164"/>
    <s v="Customer 1164"/>
    <s v="Headphones"/>
    <x v="0"/>
    <n v="4"/>
    <n v="1800"/>
    <n v="0.1"/>
    <x v="87"/>
    <n v="6273.12"/>
    <n v="206.88"/>
    <s v="Pune"/>
    <x v="0"/>
    <x v="2"/>
    <x v="1"/>
    <x v="0"/>
  </r>
  <r>
    <s v="ORD0112"/>
    <x v="65"/>
    <s v="CUST1061"/>
    <s v="Customer 1061"/>
    <s v="Desk"/>
    <x v="2"/>
    <n v="2"/>
    <n v="6000"/>
    <n v="0.15"/>
    <x v="88"/>
    <n v="8852.57"/>
    <n v="1347.43"/>
    <s v="Chennai"/>
    <x v="1"/>
    <x v="0"/>
    <x v="0"/>
    <x v="0"/>
  </r>
  <r>
    <s v="ORD0113"/>
    <x v="94"/>
    <s v="CUST1145"/>
    <s v="Customer 1145"/>
    <s v="Desk"/>
    <x v="2"/>
    <n v="1"/>
    <n v="6000"/>
    <n v="0.15"/>
    <x v="49"/>
    <n v="5093.79"/>
    <n v="6.21"/>
    <s v="Bengaluru"/>
    <x v="4"/>
    <x v="0"/>
    <x v="2"/>
    <x v="1"/>
  </r>
  <r>
    <s v="ORD0114"/>
    <x v="95"/>
    <s v="CUST1057"/>
    <s v="Customer 1057"/>
    <s v="Keyboard"/>
    <x v="0"/>
    <n v="3"/>
    <n v="2200"/>
    <n v="0.05"/>
    <x v="89"/>
    <n v="5256.39"/>
    <n v="1013.61"/>
    <s v="Delhi"/>
    <x v="3"/>
    <x v="0"/>
    <x v="1"/>
    <x v="2"/>
  </r>
  <r>
    <s v="ORD0115"/>
    <x v="96"/>
    <s v="CUST1009"/>
    <s v="Customer 1009"/>
    <s v="Backpack"/>
    <x v="5"/>
    <n v="1"/>
    <n v="1400"/>
    <n v="0"/>
    <x v="71"/>
    <n v="1096.6199999999999"/>
    <n v="303.38"/>
    <s v="Mysuru"/>
    <x v="4"/>
    <x v="2"/>
    <x v="4"/>
    <x v="0"/>
  </r>
  <r>
    <s v="ORD0116"/>
    <x v="97"/>
    <s v="CUST1034"/>
    <s v="Customer 1034"/>
    <s v="Desk"/>
    <x v="2"/>
    <n v="3"/>
    <n v="6000"/>
    <n v="0.15"/>
    <x v="90"/>
    <n v="14956.16"/>
    <n v="343.84"/>
    <s v="Mumbai"/>
    <x v="0"/>
    <x v="1"/>
    <x v="0"/>
    <x v="1"/>
  </r>
  <r>
    <s v="ORD0117"/>
    <x v="98"/>
    <s v="CUST1192"/>
    <s v="Customer 1192"/>
    <s v="Office Chair"/>
    <x v="2"/>
    <n v="2"/>
    <n v="7500"/>
    <n v="0.1"/>
    <x v="27"/>
    <n v="12752.87"/>
    <n v="747.13"/>
    <s v="Pune"/>
    <x v="0"/>
    <x v="1"/>
    <x v="3"/>
    <x v="0"/>
  </r>
  <r>
    <s v="ORD0118"/>
    <x v="99"/>
    <s v="CUST1024"/>
    <s v="Customer 1024"/>
    <s v="Backpack"/>
    <x v="5"/>
    <n v="2"/>
    <n v="1400"/>
    <n v="0.15"/>
    <x v="43"/>
    <n v="2329.1999999999998"/>
    <n v="50.8"/>
    <s v="Delhi"/>
    <x v="3"/>
    <x v="0"/>
    <x v="1"/>
    <x v="1"/>
  </r>
  <r>
    <s v="ORD0119"/>
    <x v="23"/>
    <s v="CUST1150"/>
    <s v="Customer 1150"/>
    <s v="Smartwatch"/>
    <x v="0"/>
    <n v="4"/>
    <n v="4500"/>
    <n v="0.1"/>
    <x v="7"/>
    <n v="13277.45"/>
    <n v="2922.55"/>
    <s v="Pune"/>
    <x v="0"/>
    <x v="0"/>
    <x v="1"/>
    <x v="0"/>
  </r>
  <r>
    <s v="ORD0120"/>
    <x v="100"/>
    <s v="CUST1235"/>
    <s v="Customer 1235"/>
    <s v="Jeans"/>
    <x v="3"/>
    <n v="4"/>
    <n v="1800"/>
    <n v="0"/>
    <x v="26"/>
    <n v="5690.3"/>
    <n v="1509.7"/>
    <s v="Delhi"/>
    <x v="3"/>
    <x v="2"/>
    <x v="2"/>
    <x v="2"/>
  </r>
  <r>
    <s v="ORD0121"/>
    <x v="79"/>
    <s v="CUST1012"/>
    <s v="Customer 1012"/>
    <s v="Gaming Mouse"/>
    <x v="0"/>
    <n v="3"/>
    <n v="1600"/>
    <n v="0.15"/>
    <x v="91"/>
    <n v="4164.67"/>
    <n v="-84.67"/>
    <s v="Hyderabad"/>
    <x v="2"/>
    <x v="0"/>
    <x v="3"/>
    <x v="0"/>
  </r>
  <r>
    <s v="ORD0122"/>
    <x v="101"/>
    <s v="CUST1117"/>
    <s v="Customer 1117"/>
    <s v="Smartwatch"/>
    <x v="0"/>
    <n v="2"/>
    <n v="4500"/>
    <n v="0.2"/>
    <x v="26"/>
    <n v="6617.99"/>
    <n v="582.01"/>
    <s v="Kolkata"/>
    <x v="5"/>
    <x v="1"/>
    <x v="0"/>
    <x v="0"/>
  </r>
  <r>
    <s v="ORD0123"/>
    <x v="102"/>
    <s v="CUST1241"/>
    <s v="Customer 1241"/>
    <s v="Backpack"/>
    <x v="5"/>
    <n v="4"/>
    <n v="1400"/>
    <n v="0"/>
    <x v="56"/>
    <n v="4865.5600000000004"/>
    <n v="734.44"/>
    <s v="Kolkata"/>
    <x v="5"/>
    <x v="0"/>
    <x v="1"/>
    <x v="0"/>
  </r>
  <r>
    <s v="ORD0124"/>
    <x v="4"/>
    <s v="CUST1176"/>
    <s v="Customer 1176"/>
    <s v="Gaming Mouse"/>
    <x v="0"/>
    <n v="4"/>
    <n v="1600"/>
    <n v="0.05"/>
    <x v="92"/>
    <n v="4700.72"/>
    <n v="1379.28"/>
    <s v="Chennai"/>
    <x v="1"/>
    <x v="0"/>
    <x v="1"/>
    <x v="0"/>
  </r>
  <r>
    <s v="ORD0125"/>
    <x v="103"/>
    <s v="CUST1024"/>
    <s v="Customer 1024"/>
    <s v="Book"/>
    <x v="4"/>
    <n v="3"/>
    <n v="450"/>
    <n v="0.05"/>
    <x v="93"/>
    <n v="1083.29"/>
    <n v="199.21"/>
    <s v="Mysuru"/>
    <x v="4"/>
    <x v="0"/>
    <x v="0"/>
    <x v="0"/>
  </r>
  <r>
    <s v="ORD0126"/>
    <x v="86"/>
    <s v="CUST1018"/>
    <s v="Customer 1018"/>
    <s v="Smartphone"/>
    <x v="0"/>
    <n v="3"/>
    <n v="22000"/>
    <n v="0.05"/>
    <x v="94"/>
    <n v="55496.63"/>
    <n v="7203.37"/>
    <s v="Mumbai"/>
    <x v="0"/>
    <x v="1"/>
    <x v="4"/>
    <x v="1"/>
  </r>
  <r>
    <s v="ORD0127"/>
    <x v="104"/>
    <s v="CUST1071"/>
    <s v="Customer 1071"/>
    <s v="T-Shirt"/>
    <x v="3"/>
    <n v="2"/>
    <n v="800"/>
    <n v="0.1"/>
    <x v="95"/>
    <n v="1355.89"/>
    <n v="84.11"/>
    <s v="Bengaluru"/>
    <x v="4"/>
    <x v="1"/>
    <x v="4"/>
    <x v="1"/>
  </r>
  <r>
    <s v="ORD0128"/>
    <x v="27"/>
    <s v="CUST1034"/>
    <s v="Customer 1034"/>
    <s v="Office Chair"/>
    <x v="2"/>
    <n v="2"/>
    <n v="7500"/>
    <n v="0"/>
    <x v="96"/>
    <n v="9801.27"/>
    <n v="5198.7299999999996"/>
    <s v="Bengaluru"/>
    <x v="4"/>
    <x v="1"/>
    <x v="0"/>
    <x v="0"/>
  </r>
  <r>
    <s v="ORD0129"/>
    <x v="105"/>
    <s v="CUST1190"/>
    <s v="Customer 1190"/>
    <s v="Laptop"/>
    <x v="0"/>
    <n v="2"/>
    <n v="55000"/>
    <n v="0.1"/>
    <x v="97"/>
    <n v="82150.3"/>
    <n v="16849.7"/>
    <s v="Hyderabad"/>
    <x v="2"/>
    <x v="0"/>
    <x v="2"/>
    <x v="0"/>
  </r>
  <r>
    <s v="ORD0130"/>
    <x v="106"/>
    <s v="CUST1116"/>
    <s v="Customer 1116"/>
    <s v="Gaming Mouse"/>
    <x v="0"/>
    <n v="3"/>
    <n v="1600"/>
    <n v="0.2"/>
    <x v="98"/>
    <n v="3676.24"/>
    <n v="163.76"/>
    <s v="Chennai"/>
    <x v="1"/>
    <x v="0"/>
    <x v="2"/>
    <x v="2"/>
  </r>
  <r>
    <s v="ORD0131"/>
    <x v="107"/>
    <s v="CUST1217"/>
    <s v="Customer 1217"/>
    <s v="Desk"/>
    <x v="2"/>
    <n v="4"/>
    <n v="6000"/>
    <n v="0"/>
    <x v="99"/>
    <n v="17816.93"/>
    <n v="6183.07"/>
    <s v="Mysuru"/>
    <x v="4"/>
    <x v="0"/>
    <x v="2"/>
    <x v="0"/>
  </r>
  <r>
    <s v="ORD0132"/>
    <x v="108"/>
    <s v="CUST1017"/>
    <s v="Customer 1017"/>
    <s v="Gaming Mouse"/>
    <x v="0"/>
    <n v="1"/>
    <n v="1600"/>
    <n v="0"/>
    <x v="45"/>
    <n v="1086.44"/>
    <n v="513.55999999999995"/>
    <s v="Hyderabad"/>
    <x v="2"/>
    <x v="2"/>
    <x v="0"/>
    <x v="1"/>
  </r>
  <r>
    <s v="ORD0133"/>
    <x v="16"/>
    <s v="CUST1117"/>
    <s v="Customer 1117"/>
    <s v="Coffee Maker"/>
    <x v="1"/>
    <n v="4"/>
    <n v="3500"/>
    <n v="0.2"/>
    <x v="40"/>
    <n v="10727.87"/>
    <n v="472.13"/>
    <s v="Pune"/>
    <x v="0"/>
    <x v="2"/>
    <x v="2"/>
    <x v="2"/>
  </r>
  <r>
    <s v="ORD0134"/>
    <x v="109"/>
    <s v="CUST1228"/>
    <s v="Customer 1228"/>
    <s v="Smartwatch"/>
    <x v="0"/>
    <n v="5"/>
    <n v="4500"/>
    <n v="0.05"/>
    <x v="100"/>
    <n v="15807.45"/>
    <n v="5567.55"/>
    <s v="Mysuru"/>
    <x v="4"/>
    <x v="1"/>
    <x v="3"/>
    <x v="0"/>
  </r>
  <r>
    <s v="ORD0135"/>
    <x v="110"/>
    <s v="CUST1171"/>
    <s v="Customer 1171"/>
    <s v="Study Table Lamp"/>
    <x v="1"/>
    <n v="1"/>
    <n v="1200"/>
    <n v="0.1"/>
    <x v="101"/>
    <n v="850.35"/>
    <n v="229.65"/>
    <s v="Delhi"/>
    <x v="3"/>
    <x v="1"/>
    <x v="3"/>
    <x v="0"/>
  </r>
  <r>
    <s v="ORD0136"/>
    <x v="77"/>
    <s v="CUST1191"/>
    <s v="Customer 1191"/>
    <s v="Headphones"/>
    <x v="0"/>
    <n v="1"/>
    <n v="1800"/>
    <n v="0"/>
    <x v="3"/>
    <n v="1475.86"/>
    <n v="324.14"/>
    <s v="Chennai"/>
    <x v="1"/>
    <x v="1"/>
    <x v="0"/>
    <x v="0"/>
  </r>
  <r>
    <s v="ORD0137"/>
    <x v="111"/>
    <s v="CUST1223"/>
    <s v="Customer 1223"/>
    <s v="Coffee Maker"/>
    <x v="1"/>
    <n v="1"/>
    <n v="3500"/>
    <n v="0.15"/>
    <x v="102"/>
    <n v="3012.25"/>
    <n v="-37.25"/>
    <s v="Kolkata"/>
    <x v="5"/>
    <x v="1"/>
    <x v="1"/>
    <x v="1"/>
  </r>
  <r>
    <s v="ORD0138"/>
    <x v="112"/>
    <s v="CUST1040"/>
    <s v="Customer 1040"/>
    <s v="Desk"/>
    <x v="2"/>
    <n v="3"/>
    <n v="6000"/>
    <n v="0"/>
    <x v="103"/>
    <n v="14418.89"/>
    <n v="3581.11"/>
    <s v="Mumbai"/>
    <x v="0"/>
    <x v="0"/>
    <x v="2"/>
    <x v="0"/>
  </r>
  <r>
    <s v="ORD0139"/>
    <x v="113"/>
    <s v="CUST1207"/>
    <s v="Customer 1207"/>
    <s v="Mixer Grinder"/>
    <x v="1"/>
    <n v="1"/>
    <n v="2800"/>
    <n v="0.1"/>
    <x v="104"/>
    <n v="2096.35"/>
    <n v="423.65"/>
    <s v="Mumbai"/>
    <x v="0"/>
    <x v="2"/>
    <x v="0"/>
    <x v="1"/>
  </r>
  <r>
    <s v="ORD0140"/>
    <x v="114"/>
    <s v="CUST1070"/>
    <s v="Customer 1070"/>
    <s v="Laptop"/>
    <x v="0"/>
    <n v="5"/>
    <n v="55000"/>
    <n v="0.1"/>
    <x v="30"/>
    <n v="223195.7"/>
    <n v="24304.3"/>
    <s v="Hyderabad"/>
    <x v="2"/>
    <x v="0"/>
    <x v="1"/>
    <x v="0"/>
  </r>
  <r>
    <s v="ORD0141"/>
    <x v="115"/>
    <s v="CUST1018"/>
    <s v="Customer 1018"/>
    <s v="Laptop"/>
    <x v="0"/>
    <n v="2"/>
    <n v="55000"/>
    <n v="0.05"/>
    <x v="105"/>
    <n v="75089.429999999993"/>
    <n v="29410.57"/>
    <s v="Kolkata"/>
    <x v="5"/>
    <x v="0"/>
    <x v="2"/>
    <x v="0"/>
  </r>
  <r>
    <s v="ORD0142"/>
    <x v="8"/>
    <s v="CUST1041"/>
    <s v="Customer 1041"/>
    <s v="T-Shirt"/>
    <x v="3"/>
    <n v="4"/>
    <n v="800"/>
    <n v="0.15"/>
    <x v="46"/>
    <n v="2352.36"/>
    <n v="367.64"/>
    <s v="Delhi"/>
    <x v="3"/>
    <x v="2"/>
    <x v="1"/>
    <x v="1"/>
  </r>
  <r>
    <s v="ORD0143"/>
    <x v="116"/>
    <s v="CUST1173"/>
    <s v="Customer 1173"/>
    <s v="Headphones"/>
    <x v="0"/>
    <n v="1"/>
    <n v="1800"/>
    <n v="0.05"/>
    <x v="57"/>
    <n v="1203.77"/>
    <n v="506.23"/>
    <s v="Bengaluru"/>
    <x v="4"/>
    <x v="2"/>
    <x v="3"/>
    <x v="0"/>
  </r>
  <r>
    <s v="ORD0144"/>
    <x v="117"/>
    <s v="CUST1089"/>
    <s v="Customer 1089"/>
    <s v="Gaming Mouse"/>
    <x v="0"/>
    <n v="4"/>
    <n v="1600"/>
    <n v="0.1"/>
    <x v="106"/>
    <n v="4792.83"/>
    <n v="967.17"/>
    <s v="Chennai"/>
    <x v="1"/>
    <x v="1"/>
    <x v="0"/>
    <x v="0"/>
  </r>
  <r>
    <s v="ORD0145"/>
    <x v="11"/>
    <s v="CUST1002"/>
    <s v="Customer 1002"/>
    <s v="Desk"/>
    <x v="2"/>
    <n v="1"/>
    <n v="6000"/>
    <n v="0.05"/>
    <x v="67"/>
    <n v="4182.1000000000004"/>
    <n v="1517.9"/>
    <s v="Bengaluru"/>
    <x v="4"/>
    <x v="1"/>
    <x v="4"/>
    <x v="0"/>
  </r>
  <r>
    <s v="ORD0146"/>
    <x v="118"/>
    <s v="CUST1192"/>
    <s v="Customer 1192"/>
    <s v="Desk"/>
    <x v="2"/>
    <n v="3"/>
    <n v="6000"/>
    <n v="0"/>
    <x v="103"/>
    <n v="13482.91"/>
    <n v="4517.09"/>
    <s v="Mysuru"/>
    <x v="4"/>
    <x v="0"/>
    <x v="3"/>
    <x v="1"/>
  </r>
  <r>
    <s v="ORD0147"/>
    <x v="119"/>
    <s v="CUST1019"/>
    <s v="Customer 1019"/>
    <s v="Jeans"/>
    <x v="3"/>
    <n v="5"/>
    <n v="1800"/>
    <n v="0.2"/>
    <x v="26"/>
    <n v="6671.94"/>
    <n v="528.05999999999995"/>
    <s v="Delhi"/>
    <x v="3"/>
    <x v="0"/>
    <x v="2"/>
    <x v="0"/>
  </r>
  <r>
    <s v="ORD0148"/>
    <x v="120"/>
    <s v="CUST1147"/>
    <s v="Customer 1147"/>
    <s v="Laptop"/>
    <x v="0"/>
    <n v="4"/>
    <n v="55000"/>
    <n v="0"/>
    <x v="107"/>
    <n v="163463.79999999999"/>
    <n v="56536.2"/>
    <s v="Kolkata"/>
    <x v="5"/>
    <x v="2"/>
    <x v="3"/>
    <x v="0"/>
  </r>
  <r>
    <s v="ORD0149"/>
    <x v="121"/>
    <s v="CUST1206"/>
    <s v="Customer 1206"/>
    <s v="Smartwatch"/>
    <x v="0"/>
    <n v="4"/>
    <n v="4500"/>
    <n v="0"/>
    <x v="103"/>
    <n v="15623.12"/>
    <n v="2376.88"/>
    <s v="Hyderabad"/>
    <x v="2"/>
    <x v="2"/>
    <x v="1"/>
    <x v="0"/>
  </r>
  <r>
    <s v="ORD0150"/>
    <x v="122"/>
    <s v="CUST1135"/>
    <s v="Customer 1135"/>
    <s v="Study Table Lamp"/>
    <x v="1"/>
    <n v="1"/>
    <n v="1200"/>
    <n v="0.05"/>
    <x v="75"/>
    <n v="801.71"/>
    <n v="338.29"/>
    <s v="Kolkata"/>
    <x v="5"/>
    <x v="2"/>
    <x v="1"/>
    <x v="0"/>
  </r>
  <r>
    <s v="ORD0151"/>
    <x v="42"/>
    <s v="CUST1136"/>
    <s v="Customer 1136"/>
    <s v="Coffee Maker"/>
    <x v="1"/>
    <n v="2"/>
    <n v="3500"/>
    <n v="0"/>
    <x v="108"/>
    <n v="5371.02"/>
    <n v="1628.98"/>
    <s v="Chennai"/>
    <x v="1"/>
    <x v="1"/>
    <x v="1"/>
    <x v="2"/>
  </r>
  <r>
    <s v="ORD0152"/>
    <x v="91"/>
    <s v="CUST1051"/>
    <s v="Customer 1051"/>
    <s v="Backpack"/>
    <x v="5"/>
    <n v="2"/>
    <n v="1400"/>
    <n v="0"/>
    <x v="109"/>
    <n v="1931.73"/>
    <n v="868.27"/>
    <s v="Pune"/>
    <x v="0"/>
    <x v="0"/>
    <x v="2"/>
    <x v="0"/>
  </r>
  <r>
    <s v="ORD0153"/>
    <x v="123"/>
    <s v="CUST1175"/>
    <s v="Customer 1175"/>
    <s v="Keyboard"/>
    <x v="0"/>
    <n v="4"/>
    <n v="2200"/>
    <n v="0.2"/>
    <x v="110"/>
    <n v="7590.49"/>
    <n v="-550.49"/>
    <s v="Mysuru"/>
    <x v="4"/>
    <x v="2"/>
    <x v="0"/>
    <x v="0"/>
  </r>
  <r>
    <s v="ORD0154"/>
    <x v="124"/>
    <s v="CUST1114"/>
    <s v="Customer 1114"/>
    <s v="Coffee Maker"/>
    <x v="1"/>
    <n v="2"/>
    <n v="3500"/>
    <n v="0.15"/>
    <x v="10"/>
    <n v="5566.53"/>
    <n v="383.47"/>
    <s v="Mysuru"/>
    <x v="4"/>
    <x v="2"/>
    <x v="0"/>
    <x v="0"/>
  </r>
  <r>
    <s v="ORD0155"/>
    <x v="96"/>
    <s v="CUST1116"/>
    <s v="Customer 1116"/>
    <s v="Mixer Grinder"/>
    <x v="1"/>
    <n v="5"/>
    <n v="2800"/>
    <n v="0"/>
    <x v="14"/>
    <n v="9221.1"/>
    <n v="4778.8999999999996"/>
    <s v="Mysuru"/>
    <x v="4"/>
    <x v="0"/>
    <x v="1"/>
    <x v="0"/>
  </r>
  <r>
    <s v="ORD0156"/>
    <x v="44"/>
    <s v="CUST1119"/>
    <s v="Customer 1119"/>
    <s v="Headphones"/>
    <x v="0"/>
    <n v="5"/>
    <n v="1800"/>
    <n v="0.2"/>
    <x v="26"/>
    <n v="7051.28"/>
    <n v="148.72"/>
    <s v="Kolkata"/>
    <x v="5"/>
    <x v="1"/>
    <x v="2"/>
    <x v="0"/>
  </r>
  <r>
    <s v="ORD0157"/>
    <x v="125"/>
    <s v="CUST1246"/>
    <s v="Customer 1246"/>
    <s v="T-Shirt"/>
    <x v="3"/>
    <n v="3"/>
    <n v="800"/>
    <n v="0.2"/>
    <x v="76"/>
    <n v="1594.15"/>
    <n v="325.85000000000002"/>
    <s v="Hyderabad"/>
    <x v="2"/>
    <x v="2"/>
    <x v="1"/>
    <x v="2"/>
  </r>
  <r>
    <s v="ORD0158"/>
    <x v="29"/>
    <s v="CUST1182"/>
    <s v="Customer 1182"/>
    <s v="Headphones"/>
    <x v="0"/>
    <n v="5"/>
    <n v="1800"/>
    <n v="0.05"/>
    <x v="8"/>
    <n v="6756.16"/>
    <n v="1793.84"/>
    <s v="Mumbai"/>
    <x v="0"/>
    <x v="0"/>
    <x v="0"/>
    <x v="1"/>
  </r>
  <r>
    <s v="ORD0159"/>
    <x v="126"/>
    <s v="CUST1105"/>
    <s v="Customer 1105"/>
    <s v="Shoes"/>
    <x v="3"/>
    <n v="3"/>
    <n v="2800"/>
    <n v="0.1"/>
    <x v="111"/>
    <n v="6956.27"/>
    <n v="603.73"/>
    <s v="Kolkata"/>
    <x v="5"/>
    <x v="0"/>
    <x v="0"/>
    <x v="0"/>
  </r>
  <r>
    <s v="ORD0160"/>
    <x v="127"/>
    <s v="CUST1073"/>
    <s v="Customer 1073"/>
    <s v="Coffee Maker"/>
    <x v="1"/>
    <n v="1"/>
    <n v="3500"/>
    <n v="0.1"/>
    <x v="42"/>
    <n v="2477.86"/>
    <n v="672.14"/>
    <s v="Kolkata"/>
    <x v="5"/>
    <x v="0"/>
    <x v="0"/>
    <x v="0"/>
  </r>
  <r>
    <s v="ORD0161"/>
    <x v="33"/>
    <s v="CUST1235"/>
    <s v="Customer 1235"/>
    <s v="Coffee Maker"/>
    <x v="1"/>
    <n v="1"/>
    <n v="3500"/>
    <n v="0.2"/>
    <x v="109"/>
    <n v="2556.61"/>
    <n v="243.39"/>
    <s v="Hyderabad"/>
    <x v="2"/>
    <x v="0"/>
    <x v="3"/>
    <x v="0"/>
  </r>
  <r>
    <s v="ORD0162"/>
    <x v="128"/>
    <s v="CUST1209"/>
    <s v="Customer 1209"/>
    <s v="Headphones"/>
    <x v="0"/>
    <n v="3"/>
    <n v="1800"/>
    <n v="0.2"/>
    <x v="37"/>
    <n v="3668.72"/>
    <n v="651.28"/>
    <s v="Delhi"/>
    <x v="3"/>
    <x v="1"/>
    <x v="0"/>
    <x v="0"/>
  </r>
  <r>
    <s v="ORD0163"/>
    <x v="129"/>
    <s v="CUST1080"/>
    <s v="Customer 1080"/>
    <s v="Study Table Lamp"/>
    <x v="1"/>
    <n v="5"/>
    <n v="1200"/>
    <n v="0.1"/>
    <x v="112"/>
    <n v="4148.76"/>
    <n v="1251.24"/>
    <s v="Delhi"/>
    <x v="3"/>
    <x v="1"/>
    <x v="1"/>
    <x v="0"/>
  </r>
  <r>
    <s v="ORD0164"/>
    <x v="130"/>
    <s v="CUST1076"/>
    <s v="Customer 1076"/>
    <s v="T-Shirt"/>
    <x v="3"/>
    <n v="2"/>
    <n v="800"/>
    <n v="0.05"/>
    <x v="70"/>
    <n v="1350.75"/>
    <n v="169.25"/>
    <s v="Chennai"/>
    <x v="1"/>
    <x v="0"/>
    <x v="0"/>
    <x v="1"/>
  </r>
  <r>
    <s v="ORD0165"/>
    <x v="81"/>
    <s v="CUST1040"/>
    <s v="Customer 1040"/>
    <s v="Smartphone"/>
    <x v="0"/>
    <n v="3"/>
    <n v="22000"/>
    <n v="0.2"/>
    <x v="34"/>
    <n v="45362.91"/>
    <n v="7437.09"/>
    <s v="Kolkata"/>
    <x v="5"/>
    <x v="2"/>
    <x v="0"/>
    <x v="0"/>
  </r>
  <r>
    <s v="ORD0166"/>
    <x v="131"/>
    <s v="CUST1249"/>
    <s v="Customer 1249"/>
    <s v="Gaming Mouse"/>
    <x v="0"/>
    <n v="1"/>
    <n v="1600"/>
    <n v="0.15"/>
    <x v="113"/>
    <n v="1203.47"/>
    <n v="156.53"/>
    <s v="Mumbai"/>
    <x v="0"/>
    <x v="2"/>
    <x v="3"/>
    <x v="0"/>
  </r>
  <r>
    <s v="ORD0167"/>
    <x v="132"/>
    <s v="CUST1174"/>
    <s v="Customer 1174"/>
    <s v="Jeans"/>
    <x v="3"/>
    <n v="3"/>
    <n v="1800"/>
    <n v="0.15"/>
    <x v="114"/>
    <n v="4686.34"/>
    <n v="-96.34"/>
    <s v="Delhi"/>
    <x v="3"/>
    <x v="0"/>
    <x v="3"/>
    <x v="0"/>
  </r>
  <r>
    <s v="ORD0168"/>
    <x v="133"/>
    <s v="CUST1210"/>
    <s v="Customer 1210"/>
    <s v="Book"/>
    <x v="4"/>
    <n v="5"/>
    <n v="450"/>
    <n v="0.2"/>
    <x v="3"/>
    <n v="1565.84"/>
    <n v="234.16"/>
    <s v="Hyderabad"/>
    <x v="2"/>
    <x v="1"/>
    <x v="4"/>
    <x v="0"/>
  </r>
  <r>
    <s v="ORD0169"/>
    <x v="69"/>
    <s v="CUST1183"/>
    <s v="Customer 1183"/>
    <s v="Smartphone"/>
    <x v="0"/>
    <n v="4"/>
    <n v="22000"/>
    <n v="0.1"/>
    <x v="115"/>
    <n v="74320.86"/>
    <n v="4879.1400000000003"/>
    <s v="Chennai"/>
    <x v="1"/>
    <x v="1"/>
    <x v="1"/>
    <x v="0"/>
  </r>
  <r>
    <s v="ORD0170"/>
    <x v="134"/>
    <s v="CUST1213"/>
    <s v="Customer 1213"/>
    <s v="Shoes"/>
    <x v="3"/>
    <n v="3"/>
    <n v="2800"/>
    <n v="0.15"/>
    <x v="84"/>
    <n v="6305.2"/>
    <n v="834.8"/>
    <s v="Hyderabad"/>
    <x v="2"/>
    <x v="1"/>
    <x v="3"/>
    <x v="0"/>
  </r>
  <r>
    <s v="ORD0171"/>
    <x v="11"/>
    <s v="CUST1061"/>
    <s v="Customer 1061"/>
    <s v="Laptop"/>
    <x v="0"/>
    <n v="4"/>
    <n v="55000"/>
    <n v="0"/>
    <x v="107"/>
    <n v="162540.01"/>
    <n v="57459.99"/>
    <s v="Delhi"/>
    <x v="3"/>
    <x v="1"/>
    <x v="1"/>
    <x v="0"/>
  </r>
  <r>
    <s v="ORD0172"/>
    <x v="135"/>
    <s v="CUST1203"/>
    <s v="Customer 1203"/>
    <s v="Laptop"/>
    <x v="0"/>
    <n v="3"/>
    <n v="55000"/>
    <n v="0"/>
    <x v="116"/>
    <n v="112792.57"/>
    <n v="52207.43"/>
    <s v="Delhi"/>
    <x v="3"/>
    <x v="2"/>
    <x v="1"/>
    <x v="0"/>
  </r>
  <r>
    <s v="ORD0173"/>
    <x v="136"/>
    <s v="CUST1232"/>
    <s v="Customer 1232"/>
    <s v="Backpack"/>
    <x v="5"/>
    <n v="4"/>
    <n v="1400"/>
    <n v="0.15"/>
    <x v="117"/>
    <n v="3742.04"/>
    <n v="1017.96"/>
    <s v="Bengaluru"/>
    <x v="4"/>
    <x v="2"/>
    <x v="4"/>
    <x v="0"/>
  </r>
  <r>
    <s v="ORD0174"/>
    <x v="137"/>
    <s v="CUST1032"/>
    <s v="Customer 1032"/>
    <s v="Study Table Lamp"/>
    <x v="1"/>
    <n v="1"/>
    <n v="1200"/>
    <n v="0.1"/>
    <x v="101"/>
    <n v="793.18"/>
    <n v="286.82"/>
    <s v="Pune"/>
    <x v="0"/>
    <x v="1"/>
    <x v="0"/>
    <x v="0"/>
  </r>
  <r>
    <s v="ORD0175"/>
    <x v="138"/>
    <s v="CUST1162"/>
    <s v="Customer 1162"/>
    <s v="Laptop"/>
    <x v="0"/>
    <n v="1"/>
    <n v="1800"/>
    <n v="0.15"/>
    <x v="68"/>
    <n v="1383.37"/>
    <n v="146.63"/>
    <s v="Bengaluru"/>
    <x v="4"/>
    <x v="0"/>
    <x v="4"/>
    <x v="0"/>
  </r>
  <r>
    <s v="ORD0176"/>
    <x v="139"/>
    <s v="CUST1147"/>
    <s v="Customer 1147"/>
    <s v="Study Table Lamp"/>
    <x v="1"/>
    <n v="1"/>
    <n v="1200"/>
    <n v="0.2"/>
    <x v="41"/>
    <n v="894.97"/>
    <n v="65.03"/>
    <s v="Mumbai"/>
    <x v="0"/>
    <x v="1"/>
    <x v="2"/>
    <x v="1"/>
  </r>
  <r>
    <s v="ORD0177"/>
    <x v="140"/>
    <s v="CUST1100"/>
    <s v="Customer 1100"/>
    <s v="Mixer Grinder"/>
    <x v="1"/>
    <n v="1"/>
    <n v="2800"/>
    <n v="0.2"/>
    <x v="85"/>
    <n v="2382.4299999999998"/>
    <n v="-142.43"/>
    <s v="Bengaluru"/>
    <x v="4"/>
    <x v="0"/>
    <x v="3"/>
    <x v="0"/>
  </r>
  <r>
    <s v="ORD0178"/>
    <x v="124"/>
    <s v="CUST1062"/>
    <s v="Customer 1062"/>
    <s v="Office Chair"/>
    <x v="2"/>
    <n v="1"/>
    <n v="7500"/>
    <n v="0.1"/>
    <x v="79"/>
    <n v="6139.32"/>
    <n v="610.67999999999995"/>
    <s v="Delhi"/>
    <x v="3"/>
    <x v="0"/>
    <x v="2"/>
    <x v="1"/>
  </r>
  <r>
    <s v="ORD0179"/>
    <x v="139"/>
    <s v="CUST1209"/>
    <s v="Customer 1209"/>
    <s v="Coffee Maker"/>
    <x v="1"/>
    <n v="2"/>
    <n v="3500"/>
    <n v="0"/>
    <x v="108"/>
    <n v="5584.9"/>
    <n v="1415.1"/>
    <s v="Delhi"/>
    <x v="3"/>
    <x v="1"/>
    <x v="3"/>
    <x v="2"/>
  </r>
  <r>
    <s v="ORD0180"/>
    <x v="141"/>
    <s v="CUST1010"/>
    <s v="Customer 1010"/>
    <s v="Keyboard"/>
    <x v="0"/>
    <n v="2"/>
    <n v="2200"/>
    <n v="0.05"/>
    <x v="118"/>
    <n v="3156.96"/>
    <n v="1023.04"/>
    <s v="Mysuru"/>
    <x v="4"/>
    <x v="0"/>
    <x v="4"/>
    <x v="0"/>
  </r>
  <r>
    <s v="ORD0181"/>
    <x v="142"/>
    <s v="CUST1065"/>
    <s v="Customer 1065"/>
    <s v="Coffee Maker"/>
    <x v="1"/>
    <n v="3"/>
    <n v="3500"/>
    <n v="0.2"/>
    <x v="119"/>
    <n v="6913.44"/>
    <n v="1486.56"/>
    <s v="Mysuru"/>
    <x v="4"/>
    <x v="2"/>
    <x v="4"/>
    <x v="0"/>
  </r>
  <r>
    <s v="ORD0182"/>
    <x v="56"/>
    <s v="CUST1205"/>
    <s v="Customer 1205"/>
    <s v="Mixer Grinder"/>
    <x v="1"/>
    <n v="1"/>
    <n v="2800"/>
    <n v="0.1"/>
    <x v="104"/>
    <n v="2057"/>
    <n v="463"/>
    <s v="Chennai"/>
    <x v="1"/>
    <x v="0"/>
    <x v="3"/>
    <x v="0"/>
  </r>
  <r>
    <s v="ORD0183"/>
    <x v="143"/>
    <s v="CUST1095"/>
    <s v="Customer 1095"/>
    <s v="Coffee Maker"/>
    <x v="1"/>
    <n v="2"/>
    <n v="3500"/>
    <n v="0.15"/>
    <x v="10"/>
    <n v="6038.14"/>
    <n v="-88.14"/>
    <s v="Mysuru"/>
    <x v="4"/>
    <x v="1"/>
    <x v="1"/>
    <x v="0"/>
  </r>
  <r>
    <s v="ORD0184"/>
    <x v="144"/>
    <s v="CUST1140"/>
    <s v="Customer 1140"/>
    <s v="Study Table Lamp"/>
    <x v="1"/>
    <n v="1"/>
    <n v="1200"/>
    <n v="0.15"/>
    <x v="120"/>
    <n v="861.08"/>
    <n v="158.91999999999999"/>
    <s v="Hyderabad"/>
    <x v="2"/>
    <x v="2"/>
    <x v="2"/>
    <x v="0"/>
  </r>
  <r>
    <s v="ORD0185"/>
    <x v="144"/>
    <s v="CUST1043"/>
    <s v="Customer 1043"/>
    <s v="Desk"/>
    <x v="2"/>
    <n v="3"/>
    <n v="6000"/>
    <n v="0.15"/>
    <x v="90"/>
    <n v="14555.63"/>
    <n v="744.37"/>
    <s v="Kolkata"/>
    <x v="5"/>
    <x v="2"/>
    <x v="3"/>
    <x v="0"/>
  </r>
  <r>
    <s v="ORD0186"/>
    <x v="94"/>
    <s v="CUST1020"/>
    <s v="Customer 1020"/>
    <s v="Mixer Grinder"/>
    <x v="1"/>
    <n v="5"/>
    <n v="2800"/>
    <n v="0.15"/>
    <x v="44"/>
    <n v="11261.21"/>
    <n v="638.79"/>
    <s v="Bengaluru"/>
    <x v="4"/>
    <x v="1"/>
    <x v="1"/>
    <x v="1"/>
  </r>
  <r>
    <s v="ORD0187"/>
    <x v="145"/>
    <s v="CUST1009"/>
    <s v="Customer 1009"/>
    <s v="Shoes"/>
    <x v="3"/>
    <n v="1"/>
    <n v="2800"/>
    <n v="0.05"/>
    <x v="29"/>
    <n v="1901.29"/>
    <n v="758.71"/>
    <s v="Mysuru"/>
    <x v="4"/>
    <x v="2"/>
    <x v="1"/>
    <x v="0"/>
  </r>
  <r>
    <s v="ORD0188"/>
    <x v="34"/>
    <s v="CUST1174"/>
    <s v="Customer 1174"/>
    <s v="Book"/>
    <x v="4"/>
    <n v="5"/>
    <n v="450"/>
    <n v="0"/>
    <x v="121"/>
    <n v="1695.33"/>
    <n v="554.66999999999996"/>
    <s v="Hyderabad"/>
    <x v="2"/>
    <x v="2"/>
    <x v="1"/>
    <x v="0"/>
  </r>
  <r>
    <s v="ORD0189"/>
    <x v="16"/>
    <s v="CUST1102"/>
    <s v="Customer 1102"/>
    <s v="Headphones"/>
    <x v="0"/>
    <n v="5"/>
    <n v="1800"/>
    <n v="0.05"/>
    <x v="8"/>
    <n v="6500.78"/>
    <n v="2049.2199999999998"/>
    <s v="Delhi"/>
    <x v="3"/>
    <x v="2"/>
    <x v="4"/>
    <x v="0"/>
  </r>
  <r>
    <s v="ORD0190"/>
    <x v="80"/>
    <s v="CUST1234"/>
    <s v="Customer 1234"/>
    <s v="Laptop"/>
    <x v="0"/>
    <n v="2"/>
    <n v="55000"/>
    <n v="0.15"/>
    <x v="122"/>
    <n v="85710.32"/>
    <n v="7789.68"/>
    <s v="Kolkata"/>
    <x v="5"/>
    <x v="1"/>
    <x v="1"/>
    <x v="2"/>
  </r>
  <r>
    <s v="ORD0191"/>
    <x v="146"/>
    <s v="CUST1052"/>
    <s v="Customer 1052"/>
    <s v="Gaming Mouse"/>
    <x v="0"/>
    <n v="2"/>
    <n v="1600"/>
    <n v="0.2"/>
    <x v="123"/>
    <n v="2170.2600000000002"/>
    <n v="389.74"/>
    <s v="Mysuru"/>
    <x v="4"/>
    <x v="0"/>
    <x v="3"/>
    <x v="0"/>
  </r>
  <r>
    <s v="ORD0192"/>
    <x v="36"/>
    <s v="CUST1182"/>
    <s v="Customer 1182"/>
    <s v="Gaming Mouse"/>
    <x v="0"/>
    <n v="1"/>
    <n v="1600"/>
    <n v="0.1"/>
    <x v="95"/>
    <n v="1063.9000000000001"/>
    <n v="376.1"/>
    <s v="Delhi"/>
    <x v="3"/>
    <x v="1"/>
    <x v="1"/>
    <x v="0"/>
  </r>
  <r>
    <s v="ORD0193"/>
    <x v="147"/>
    <s v="CUST1032"/>
    <s v="Customer 1032"/>
    <s v="Shoes"/>
    <x v="3"/>
    <n v="2"/>
    <n v="2800"/>
    <n v="0.1"/>
    <x v="124"/>
    <n v="4908.8500000000004"/>
    <n v="131.15"/>
    <s v="Mumbai"/>
    <x v="0"/>
    <x v="0"/>
    <x v="4"/>
    <x v="0"/>
  </r>
  <r>
    <s v="ORD0194"/>
    <x v="113"/>
    <s v="CUST1120"/>
    <s v="Customer 1120"/>
    <s v="Laptop"/>
    <x v="0"/>
    <n v="3"/>
    <n v="55000"/>
    <n v="0.2"/>
    <x v="73"/>
    <n v="137748.96"/>
    <n v="-5748.96"/>
    <s v="Delhi"/>
    <x v="3"/>
    <x v="2"/>
    <x v="4"/>
    <x v="1"/>
  </r>
  <r>
    <s v="ORD0195"/>
    <x v="142"/>
    <s v="CUST1135"/>
    <s v="Customer 1135"/>
    <s v="Headphones"/>
    <x v="0"/>
    <n v="1"/>
    <n v="1800"/>
    <n v="0.1"/>
    <x v="17"/>
    <n v="1340.07"/>
    <n v="279.93"/>
    <s v="Mysuru"/>
    <x v="4"/>
    <x v="1"/>
    <x v="0"/>
    <x v="0"/>
  </r>
  <r>
    <s v="ORD0196"/>
    <x v="66"/>
    <s v="CUST1175"/>
    <s v="Customer 1175"/>
    <s v="Backpack"/>
    <x v="5"/>
    <n v="3"/>
    <n v="1400"/>
    <n v="0"/>
    <x v="125"/>
    <n v="3229.77"/>
    <n v="970.23"/>
    <s v="Mysuru"/>
    <x v="4"/>
    <x v="1"/>
    <x v="0"/>
    <x v="2"/>
  </r>
  <r>
    <s v="ORD0197"/>
    <x v="148"/>
    <s v="CUST1213"/>
    <s v="Customer 1213"/>
    <s v="Shoes"/>
    <x v="3"/>
    <n v="2"/>
    <n v="2800"/>
    <n v="0.15"/>
    <x v="117"/>
    <n v="3799.92"/>
    <n v="960.08"/>
    <s v="Bengaluru"/>
    <x v="4"/>
    <x v="1"/>
    <x v="1"/>
    <x v="0"/>
  </r>
  <r>
    <s v="ORD0198"/>
    <x v="149"/>
    <s v="CUST1217"/>
    <s v="Customer 1217"/>
    <s v="Shoes"/>
    <x v="3"/>
    <n v="3"/>
    <n v="2800"/>
    <n v="0.05"/>
    <x v="126"/>
    <n v="5612.36"/>
    <n v="2367.64"/>
    <s v="Pune"/>
    <x v="0"/>
    <x v="0"/>
    <x v="0"/>
    <x v="0"/>
  </r>
  <r>
    <s v="ORD0199"/>
    <x v="9"/>
    <s v="CUST1129"/>
    <s v="Customer 1129"/>
    <s v="Backpack"/>
    <x v="5"/>
    <n v="3"/>
    <n v="1400"/>
    <n v="0.2"/>
    <x v="127"/>
    <n v="3349.19"/>
    <n v="10.81"/>
    <s v="Chennai"/>
    <x v="1"/>
    <x v="1"/>
    <x v="0"/>
    <x v="0"/>
  </r>
  <r>
    <s v="ORD0200"/>
    <x v="2"/>
    <s v="CUST1212"/>
    <s v="Customer 1212"/>
    <s v="Shoes"/>
    <x v="3"/>
    <n v="5"/>
    <n v="2800"/>
    <n v="0.2"/>
    <x v="40"/>
    <n v="11881.38"/>
    <n v="-681.38"/>
    <s v="Bengaluru"/>
    <x v="4"/>
    <x v="0"/>
    <x v="2"/>
    <x v="2"/>
  </r>
  <r>
    <s v="ORD0201"/>
    <x v="150"/>
    <s v="CUST1128"/>
    <s v="Customer 1128"/>
    <s v="Office Chair"/>
    <x v="2"/>
    <n v="2"/>
    <n v="7500"/>
    <n v="0.2"/>
    <x v="16"/>
    <n v="12817.04"/>
    <n v="-817.04"/>
    <s v="Bengaluru"/>
    <x v="4"/>
    <x v="0"/>
    <x v="1"/>
    <x v="2"/>
  </r>
  <r>
    <s v="ORD0202"/>
    <x v="151"/>
    <s v="CUST1077"/>
    <s v="Customer 1077"/>
    <s v="Desk"/>
    <x v="2"/>
    <n v="4"/>
    <n v="6000"/>
    <n v="0.05"/>
    <x v="128"/>
    <n v="18103.560000000001"/>
    <n v="4696.4399999999996"/>
    <s v="Kolkata"/>
    <x v="5"/>
    <x v="2"/>
    <x v="2"/>
    <x v="0"/>
  </r>
  <r>
    <s v="ORD0203"/>
    <x v="50"/>
    <s v="CUST1088"/>
    <s v="Customer 1088"/>
    <s v="Gaming Mouse"/>
    <x v="0"/>
    <n v="4"/>
    <n v="1600"/>
    <n v="0.15"/>
    <x v="129"/>
    <n v="5053"/>
    <n v="387"/>
    <s v="Mumbai"/>
    <x v="0"/>
    <x v="1"/>
    <x v="1"/>
    <x v="2"/>
  </r>
  <r>
    <s v="ORD0204"/>
    <x v="32"/>
    <s v="CUST1082"/>
    <s v="Customer 1082"/>
    <s v="Mixer Grinder"/>
    <x v="1"/>
    <n v="4"/>
    <n v="2800"/>
    <n v="0.05"/>
    <x v="54"/>
    <n v="7902.72"/>
    <n v="2737.28"/>
    <s v="Chennai"/>
    <x v="1"/>
    <x v="0"/>
    <x v="1"/>
    <x v="0"/>
  </r>
  <r>
    <s v="ORD0205"/>
    <x v="25"/>
    <s v="CUST1243"/>
    <s v="Customer 1243"/>
    <s v="Jeans"/>
    <x v="3"/>
    <n v="2"/>
    <n v="1800"/>
    <n v="0"/>
    <x v="25"/>
    <n v="2658.08"/>
    <n v="941.92"/>
    <s v="Pune"/>
    <x v="0"/>
    <x v="0"/>
    <x v="3"/>
    <x v="0"/>
  </r>
  <r>
    <s v="ORD0206"/>
    <x v="120"/>
    <s v="CUST1196"/>
    <s v="Customer 1196"/>
    <s v="Shoes"/>
    <x v="3"/>
    <n v="3"/>
    <n v="2800"/>
    <n v="0.2"/>
    <x v="130"/>
    <n v="5767.85"/>
    <n v="952.15"/>
    <s v="Mumbai"/>
    <x v="0"/>
    <x v="1"/>
    <x v="3"/>
    <x v="0"/>
  </r>
  <r>
    <s v="ORD0207"/>
    <x v="152"/>
    <s v="CUST1130"/>
    <s v="Customer 1130"/>
    <s v="Desk"/>
    <x v="2"/>
    <n v="4"/>
    <n v="6000"/>
    <n v="0"/>
    <x v="99"/>
    <n v="18123.91"/>
    <n v="5876.09"/>
    <s v="Kolkata"/>
    <x v="5"/>
    <x v="0"/>
    <x v="4"/>
    <x v="1"/>
  </r>
  <r>
    <s v="ORD0208"/>
    <x v="126"/>
    <s v="CUST1153"/>
    <s v="Customer 1153"/>
    <s v="Mixer Grinder"/>
    <x v="1"/>
    <n v="1"/>
    <n v="2800"/>
    <n v="0"/>
    <x v="109"/>
    <n v="2388.23"/>
    <n v="411.77"/>
    <s v="Mysuru"/>
    <x v="4"/>
    <x v="2"/>
    <x v="3"/>
    <x v="0"/>
  </r>
  <r>
    <s v="ORD0209"/>
    <x v="153"/>
    <s v="CUST1187"/>
    <s v="Customer 1187"/>
    <s v="Laptop"/>
    <x v="0"/>
    <n v="1"/>
    <n v="55000"/>
    <n v="0.15"/>
    <x v="131"/>
    <n v="40377.089999999997"/>
    <n v="6372.91"/>
    <s v="Pune"/>
    <x v="0"/>
    <x v="1"/>
    <x v="1"/>
    <x v="0"/>
  </r>
  <r>
    <s v="ORD0210"/>
    <x v="154"/>
    <s v="CUST1093"/>
    <s v="Customer 1093"/>
    <s v="Book"/>
    <x v="4"/>
    <n v="1"/>
    <n v="450"/>
    <n v="0.2"/>
    <x v="132"/>
    <n v="349.76"/>
    <n v="10.24"/>
    <s v="Mumbai"/>
    <x v="0"/>
    <x v="2"/>
    <x v="3"/>
    <x v="1"/>
  </r>
  <r>
    <s v="ORD0211"/>
    <x v="155"/>
    <s v="CUST1033"/>
    <s v="Customer 1033"/>
    <s v="Gaming Mouse"/>
    <x v="0"/>
    <n v="5"/>
    <n v="1600"/>
    <n v="0.1"/>
    <x v="26"/>
    <n v="6994.15"/>
    <n v="205.85"/>
    <s v="Chennai"/>
    <x v="1"/>
    <x v="1"/>
    <x v="1"/>
    <x v="0"/>
  </r>
  <r>
    <s v="ORD0212"/>
    <x v="144"/>
    <s v="CUST1129"/>
    <s v="Customer 1129"/>
    <s v="Mixer Grinder"/>
    <x v="1"/>
    <n v="2"/>
    <n v="2800"/>
    <n v="0.05"/>
    <x v="35"/>
    <n v="3691.85"/>
    <n v="1628.15"/>
    <s v="Kolkata"/>
    <x v="5"/>
    <x v="1"/>
    <x v="4"/>
    <x v="2"/>
  </r>
  <r>
    <s v="ORD0213"/>
    <x v="156"/>
    <s v="CUST1156"/>
    <s v="Customer 1156"/>
    <s v="Coffee Maker"/>
    <x v="1"/>
    <n v="4"/>
    <n v="3500"/>
    <n v="0.2"/>
    <x v="40"/>
    <n v="11975.88"/>
    <n v="-775.88"/>
    <s v="Hyderabad"/>
    <x v="2"/>
    <x v="0"/>
    <x v="1"/>
    <x v="1"/>
  </r>
  <r>
    <s v="ORD0214"/>
    <x v="136"/>
    <s v="CUST1152"/>
    <s v="Customer 1152"/>
    <s v="Coffee Maker"/>
    <x v="1"/>
    <n v="2"/>
    <n v="3500"/>
    <n v="0.15"/>
    <x v="10"/>
    <n v="5091.5600000000004"/>
    <n v="858.44"/>
    <s v="Pune"/>
    <x v="0"/>
    <x v="2"/>
    <x v="0"/>
    <x v="0"/>
  </r>
  <r>
    <s v="ORD0215"/>
    <x v="157"/>
    <s v="CUST1173"/>
    <s v="Customer 1173"/>
    <s v="Desk"/>
    <x v="2"/>
    <n v="4"/>
    <n v="6000"/>
    <n v="0"/>
    <x v="99"/>
    <n v="16205.02"/>
    <n v="7794.98"/>
    <s v="Delhi"/>
    <x v="3"/>
    <x v="2"/>
    <x v="0"/>
    <x v="0"/>
  </r>
  <r>
    <s v="ORD0216"/>
    <x v="74"/>
    <s v="CUST1185"/>
    <s v="Customer 1185"/>
    <s v="Laptop"/>
    <x v="0"/>
    <n v="5"/>
    <n v="55000"/>
    <n v="0.15"/>
    <x v="52"/>
    <n v="181998.21"/>
    <n v="51751.79"/>
    <s v="Mumbai"/>
    <x v="0"/>
    <x v="2"/>
    <x v="4"/>
    <x v="1"/>
  </r>
  <r>
    <s v="ORD0217"/>
    <x v="10"/>
    <s v="CUST1049"/>
    <s v="Customer 1049"/>
    <s v="Book"/>
    <x v="4"/>
    <n v="2"/>
    <n v="450"/>
    <n v="0.05"/>
    <x v="133"/>
    <n v="588.91999999999996"/>
    <n v="266.08"/>
    <s v="Chennai"/>
    <x v="1"/>
    <x v="0"/>
    <x v="3"/>
    <x v="0"/>
  </r>
  <r>
    <s v="ORD0218"/>
    <x v="158"/>
    <s v="CUST1224"/>
    <s v="Customer 1224"/>
    <s v="Study Table Lamp"/>
    <x v="1"/>
    <n v="2"/>
    <n v="1200"/>
    <n v="0.15"/>
    <x v="4"/>
    <n v="2028.3"/>
    <n v="11.7"/>
    <s v="Mysuru"/>
    <x v="4"/>
    <x v="2"/>
    <x v="2"/>
    <x v="2"/>
  </r>
  <r>
    <s v="ORD0219"/>
    <x v="154"/>
    <s v="CUST1170"/>
    <s v="Customer 1170"/>
    <s v="Backpack"/>
    <x v="5"/>
    <n v="5"/>
    <n v="1400"/>
    <n v="0.05"/>
    <x v="134"/>
    <n v="5320.18"/>
    <n v="1329.82"/>
    <s v="Delhi"/>
    <x v="3"/>
    <x v="0"/>
    <x v="1"/>
    <x v="0"/>
  </r>
  <r>
    <s v="ORD0220"/>
    <x v="159"/>
    <s v="CUST1174"/>
    <s v="Customer 1174"/>
    <s v="Gaming Mouse"/>
    <x v="0"/>
    <n v="5"/>
    <n v="1600"/>
    <n v="0.1"/>
    <x v="26"/>
    <n v="6620.46"/>
    <n v="579.54"/>
    <s v="Delhi"/>
    <x v="3"/>
    <x v="2"/>
    <x v="1"/>
    <x v="1"/>
  </r>
  <r>
    <s v="ORD0221"/>
    <x v="160"/>
    <s v="CUST1058"/>
    <s v="Customer 1058"/>
    <s v="Keyboard"/>
    <x v="0"/>
    <n v="2"/>
    <n v="2200"/>
    <n v="0.05"/>
    <x v="118"/>
    <n v="3812.78"/>
    <n v="367.22"/>
    <s v="Pune"/>
    <x v="0"/>
    <x v="0"/>
    <x v="1"/>
    <x v="2"/>
  </r>
  <r>
    <s v="ORD0222"/>
    <x v="161"/>
    <s v="CUST1144"/>
    <s v="Customer 1144"/>
    <s v="T-Shirt"/>
    <x v="3"/>
    <n v="4"/>
    <n v="800"/>
    <n v="0.1"/>
    <x v="47"/>
    <n v="2767.2"/>
    <n v="112.8"/>
    <s v="Delhi"/>
    <x v="3"/>
    <x v="1"/>
    <x v="1"/>
    <x v="0"/>
  </r>
  <r>
    <s v="ORD0223"/>
    <x v="162"/>
    <s v="CUST1210"/>
    <s v="Customer 1210"/>
    <s v="Smartwatch"/>
    <x v="0"/>
    <n v="5"/>
    <n v="4500"/>
    <n v="0.2"/>
    <x v="103"/>
    <n v="16411.07"/>
    <n v="1588.93"/>
    <s v="Kolkata"/>
    <x v="5"/>
    <x v="1"/>
    <x v="1"/>
    <x v="0"/>
  </r>
  <r>
    <s v="ORD0224"/>
    <x v="47"/>
    <s v="CUST1192"/>
    <s v="Customer 1192"/>
    <s v="Desk"/>
    <x v="2"/>
    <n v="1"/>
    <n v="6000"/>
    <n v="0.1"/>
    <x v="112"/>
    <n v="4561.13"/>
    <n v="838.87"/>
    <s v="Pune"/>
    <x v="0"/>
    <x v="0"/>
    <x v="0"/>
    <x v="0"/>
  </r>
  <r>
    <s v="ORD0225"/>
    <x v="136"/>
    <s v="CUST1063"/>
    <s v="Customer 1063"/>
    <s v="Office Chair"/>
    <x v="2"/>
    <n v="2"/>
    <n v="7500"/>
    <n v="0"/>
    <x v="96"/>
    <n v="9925.14"/>
    <n v="5074.8599999999997"/>
    <s v="Mumbai"/>
    <x v="0"/>
    <x v="0"/>
    <x v="4"/>
    <x v="2"/>
  </r>
  <r>
    <s v="ORD0226"/>
    <x v="163"/>
    <s v="CUST1184"/>
    <s v="Customer 1184"/>
    <s v="Jeans"/>
    <x v="3"/>
    <n v="1"/>
    <n v="1800"/>
    <n v="0"/>
    <x v="3"/>
    <n v="1365.58"/>
    <n v="434.42"/>
    <s v="Delhi"/>
    <x v="3"/>
    <x v="2"/>
    <x v="4"/>
    <x v="0"/>
  </r>
  <r>
    <s v="ORD0227"/>
    <x v="55"/>
    <s v="CUST1194"/>
    <s v="Customer 1194"/>
    <s v="Shoes"/>
    <x v="3"/>
    <n v="4"/>
    <n v="2800"/>
    <n v="0.15"/>
    <x v="135"/>
    <n v="9763.0400000000009"/>
    <n v="-243.04"/>
    <s v="Mumbai"/>
    <x v="0"/>
    <x v="2"/>
    <x v="1"/>
    <x v="2"/>
  </r>
  <r>
    <s v="ORD0228"/>
    <x v="53"/>
    <s v="CUST1234"/>
    <s v="Customer 1234"/>
    <s v="Smartphone"/>
    <x v="0"/>
    <n v="1"/>
    <n v="22000"/>
    <n v="0.2"/>
    <x v="136"/>
    <n v="18962.64"/>
    <n v="-1362.64"/>
    <s v="Bengaluru"/>
    <x v="4"/>
    <x v="0"/>
    <x v="4"/>
    <x v="0"/>
  </r>
  <r>
    <s v="ORD0229"/>
    <x v="164"/>
    <s v="CUST1003"/>
    <s v="Customer 1003"/>
    <s v="Book"/>
    <x v="4"/>
    <n v="4"/>
    <n v="450"/>
    <n v="0.05"/>
    <x v="57"/>
    <n v="1293.53"/>
    <n v="416.47"/>
    <s v="Bengaluru"/>
    <x v="4"/>
    <x v="0"/>
    <x v="2"/>
    <x v="0"/>
  </r>
  <r>
    <s v="ORD0230"/>
    <x v="165"/>
    <s v="CUST1228"/>
    <s v="Customer 1228"/>
    <s v="Desk"/>
    <x v="2"/>
    <n v="4"/>
    <n v="6000"/>
    <n v="0.2"/>
    <x v="23"/>
    <n v="20780.849999999999"/>
    <n v="-1580.85"/>
    <s v="Mysuru"/>
    <x v="4"/>
    <x v="1"/>
    <x v="3"/>
    <x v="0"/>
  </r>
  <r>
    <s v="ORD0231"/>
    <x v="166"/>
    <s v="CUST1166"/>
    <s v="Customer 1166"/>
    <s v="T-Shirt"/>
    <x v="3"/>
    <n v="1"/>
    <n v="800"/>
    <n v="0.1"/>
    <x v="137"/>
    <n v="567.34"/>
    <n v="152.66"/>
    <s v="Mysuru"/>
    <x v="4"/>
    <x v="0"/>
    <x v="2"/>
    <x v="2"/>
  </r>
  <r>
    <s v="ORD0232"/>
    <x v="88"/>
    <s v="CUST1045"/>
    <s v="Customer 1045"/>
    <s v="Coffee Maker"/>
    <x v="1"/>
    <n v="3"/>
    <n v="3500"/>
    <n v="0.2"/>
    <x v="119"/>
    <n v="8300.4599999999991"/>
    <n v="99.54"/>
    <s v="Unknown"/>
    <x v="6"/>
    <x v="2"/>
    <x v="3"/>
    <x v="0"/>
  </r>
  <r>
    <s v="ORD0233"/>
    <x v="119"/>
    <s v="CUST1048"/>
    <s v="Customer 1048"/>
    <s v="Coffee Maker"/>
    <x v="1"/>
    <n v="1"/>
    <n v="3500"/>
    <n v="0.15"/>
    <x v="102"/>
    <n v="3065.26"/>
    <n v="-90.26"/>
    <s v="Chennai"/>
    <x v="1"/>
    <x v="2"/>
    <x v="1"/>
    <x v="0"/>
  </r>
  <r>
    <s v="ORD0234"/>
    <x v="89"/>
    <s v="CUST1193"/>
    <s v="Customer 1193"/>
    <s v="Laptop"/>
    <x v="0"/>
    <n v="3"/>
    <n v="55000"/>
    <n v="0.15"/>
    <x v="138"/>
    <n v="117382.43"/>
    <n v="22867.57"/>
    <s v="Mysuru"/>
    <x v="4"/>
    <x v="2"/>
    <x v="1"/>
    <x v="1"/>
  </r>
  <r>
    <s v="ORD0235"/>
    <x v="143"/>
    <s v="CUST1016"/>
    <s v="Customer 1016"/>
    <s v="Laptop"/>
    <x v="0"/>
    <n v="3"/>
    <n v="55000"/>
    <n v="0.1"/>
    <x v="139"/>
    <n v="132592.48000000001"/>
    <n v="15907.52"/>
    <s v="Mumbai"/>
    <x v="0"/>
    <x v="2"/>
    <x v="1"/>
    <x v="0"/>
  </r>
  <r>
    <s v="ORD0236"/>
    <x v="167"/>
    <s v="CUST1164"/>
    <s v="Customer 1164"/>
    <s v="Book"/>
    <x v="4"/>
    <n v="5"/>
    <n v="450"/>
    <n v="0.1"/>
    <x v="140"/>
    <n v="1936.6"/>
    <n v="88.4"/>
    <s v="Chennai"/>
    <x v="1"/>
    <x v="0"/>
    <x v="1"/>
    <x v="1"/>
  </r>
  <r>
    <s v="ORD0237"/>
    <x v="55"/>
    <s v="CUST1117"/>
    <s v="Customer 1117"/>
    <s v="Jeans"/>
    <x v="3"/>
    <n v="2"/>
    <n v="1800"/>
    <n v="0.05"/>
    <x v="51"/>
    <n v="2959.12"/>
    <n v="460.88"/>
    <s v="Hyderabad"/>
    <x v="2"/>
    <x v="0"/>
    <x v="1"/>
    <x v="0"/>
  </r>
  <r>
    <s v="ORD0238"/>
    <x v="168"/>
    <s v="CUST1135"/>
    <s v="Customer 1135"/>
    <s v="Keyboard"/>
    <x v="0"/>
    <n v="5"/>
    <n v="2200"/>
    <n v="0.05"/>
    <x v="141"/>
    <n v="8280.27"/>
    <n v="2169.73"/>
    <s v="Chennai"/>
    <x v="1"/>
    <x v="1"/>
    <x v="1"/>
    <x v="0"/>
  </r>
  <r>
    <s v="ORD0239"/>
    <x v="169"/>
    <s v="CUST1147"/>
    <s v="Customer 1147"/>
    <s v="Smartwatch"/>
    <x v="0"/>
    <n v="1"/>
    <n v="4500"/>
    <n v="0.2"/>
    <x v="25"/>
    <n v="3480.44"/>
    <n v="119.56"/>
    <s v="Mumbai"/>
    <x v="0"/>
    <x v="2"/>
    <x v="1"/>
    <x v="1"/>
  </r>
  <r>
    <s v="ORD0240"/>
    <x v="12"/>
    <s v="CUST1024"/>
    <s v="Customer 1024"/>
    <s v="Gaming Mouse"/>
    <x v="0"/>
    <n v="1"/>
    <n v="1600"/>
    <n v="0.05"/>
    <x v="70"/>
    <n v="1370.79"/>
    <n v="149.21"/>
    <s v="Mysuru"/>
    <x v="4"/>
    <x v="2"/>
    <x v="2"/>
    <x v="0"/>
  </r>
  <r>
    <s v="ORD0241"/>
    <x v="156"/>
    <s v="CUST1144"/>
    <s v="Customer 1144"/>
    <s v="Backpack"/>
    <x v="5"/>
    <n v="5"/>
    <n v="1400"/>
    <n v="0.15"/>
    <x v="10"/>
    <n v="5294.43"/>
    <n v="655.57"/>
    <s v="Bengaluru"/>
    <x v="4"/>
    <x v="0"/>
    <x v="2"/>
    <x v="0"/>
  </r>
  <r>
    <s v="ORD0242"/>
    <x v="123"/>
    <s v="CUST1012"/>
    <s v="Customer 1012"/>
    <s v="Office Chair"/>
    <x v="2"/>
    <n v="1"/>
    <n v="7500"/>
    <n v="0.05"/>
    <x v="142"/>
    <n v="5605.88"/>
    <n v="1519.12"/>
    <s v="Chennai"/>
    <x v="1"/>
    <x v="1"/>
    <x v="2"/>
    <x v="1"/>
  </r>
  <r>
    <s v="ORD0243"/>
    <x v="10"/>
    <s v="CUST1105"/>
    <s v="Customer 1105"/>
    <s v="Smartphone"/>
    <x v="0"/>
    <n v="1"/>
    <n v="22000"/>
    <n v="0.15"/>
    <x v="143"/>
    <n v="15210.71"/>
    <n v="3489.29"/>
    <s v="Pune"/>
    <x v="0"/>
    <x v="0"/>
    <x v="3"/>
    <x v="0"/>
  </r>
  <r>
    <s v="ORD0244"/>
    <x v="128"/>
    <s v="CUST1175"/>
    <s v="Customer 1175"/>
    <s v="Book"/>
    <x v="4"/>
    <n v="4"/>
    <n v="450"/>
    <n v="0.15"/>
    <x v="68"/>
    <n v="1569.16"/>
    <n v="-39.159999999999997"/>
    <s v="Chennai"/>
    <x v="1"/>
    <x v="1"/>
    <x v="4"/>
    <x v="2"/>
  </r>
  <r>
    <s v="ORD0245"/>
    <x v="43"/>
    <s v="CUST1136"/>
    <s v="Customer 1136"/>
    <s v="Mixer Grinder"/>
    <x v="1"/>
    <n v="1"/>
    <n v="2800"/>
    <n v="0.05"/>
    <x v="29"/>
    <n v="1902.01"/>
    <n v="757.99"/>
    <s v="Kolkata"/>
    <x v="5"/>
    <x v="2"/>
    <x v="2"/>
    <x v="0"/>
  </r>
  <r>
    <s v="ORD0246"/>
    <x v="170"/>
    <s v="CUST1211"/>
    <s v="Customer 1211"/>
    <s v="Desk"/>
    <x v="2"/>
    <n v="4"/>
    <n v="6000"/>
    <n v="0.2"/>
    <x v="23"/>
    <n v="16867.75"/>
    <n v="2332.25"/>
    <s v="Kolkata"/>
    <x v="5"/>
    <x v="1"/>
    <x v="1"/>
    <x v="0"/>
  </r>
  <r>
    <s v="ORD0247"/>
    <x v="10"/>
    <s v="CUST1158"/>
    <s v="Customer 1158"/>
    <s v="Office Chair"/>
    <x v="2"/>
    <n v="2"/>
    <n v="7500"/>
    <n v="0"/>
    <x v="96"/>
    <n v="12392.88"/>
    <n v="2607.12"/>
    <s v="Kolkata"/>
    <x v="5"/>
    <x v="1"/>
    <x v="4"/>
    <x v="0"/>
  </r>
  <r>
    <s v="ORD0248"/>
    <x v="171"/>
    <s v="CUST1154"/>
    <s v="Customer 1154"/>
    <s v="Headphones"/>
    <x v="0"/>
    <n v="1"/>
    <n v="1800"/>
    <n v="0.2"/>
    <x v="95"/>
    <n v="1448.22"/>
    <n v="-8.2200000000000006"/>
    <s v="Mysuru"/>
    <x v="4"/>
    <x v="1"/>
    <x v="4"/>
    <x v="2"/>
  </r>
  <r>
    <s v="ORD0249"/>
    <x v="172"/>
    <s v="CUST1194"/>
    <s v="Customer 1194"/>
    <s v="Smartphone"/>
    <x v="0"/>
    <n v="4"/>
    <n v="22000"/>
    <n v="0.15"/>
    <x v="144"/>
    <n v="74681.899999999994"/>
    <n v="118.1"/>
    <s v="Mumbai"/>
    <x v="0"/>
    <x v="1"/>
    <x v="4"/>
    <x v="1"/>
  </r>
  <r>
    <s v="ORD0250"/>
    <x v="173"/>
    <s v="CUST1061"/>
    <s v="Customer 1061"/>
    <s v="Desk"/>
    <x v="2"/>
    <n v="2"/>
    <n v="6000"/>
    <n v="0.2"/>
    <x v="145"/>
    <n v="8632.8700000000008"/>
    <n v="967.13"/>
    <s v="Delhi"/>
    <x v="3"/>
    <x v="0"/>
    <x v="0"/>
    <x v="0"/>
  </r>
  <r>
    <s v="ORD0251"/>
    <x v="107"/>
    <s v="CUST1161"/>
    <s v="Customer 1161"/>
    <s v="Study Table Lamp"/>
    <x v="1"/>
    <n v="3"/>
    <n v="1200"/>
    <n v="0.1"/>
    <x v="77"/>
    <n v="2902.01"/>
    <n v="337.99"/>
    <s v="Hyderabad"/>
    <x v="2"/>
    <x v="2"/>
    <x v="3"/>
    <x v="0"/>
  </r>
  <r>
    <s v="ORD0252"/>
    <x v="173"/>
    <s v="CUST1105"/>
    <s v="Customer 1105"/>
    <s v="Mixer Grinder"/>
    <x v="1"/>
    <n v="4"/>
    <n v="2800"/>
    <n v="0.2"/>
    <x v="63"/>
    <n v="7664.38"/>
    <n v="1295.6199999999999"/>
    <s v="Kolkata"/>
    <x v="5"/>
    <x v="1"/>
    <x v="4"/>
    <x v="1"/>
  </r>
  <r>
    <s v="ORD0253"/>
    <x v="174"/>
    <s v="CUST1207"/>
    <s v="Customer 1207"/>
    <s v="Keyboard"/>
    <x v="0"/>
    <n v="2"/>
    <n v="2200"/>
    <n v="0.05"/>
    <x v="118"/>
    <n v="3328.58"/>
    <n v="851.42"/>
    <s v="Hyderabad"/>
    <x v="2"/>
    <x v="2"/>
    <x v="0"/>
    <x v="0"/>
  </r>
  <r>
    <s v="ORD0254"/>
    <x v="153"/>
    <s v="CUST1063"/>
    <s v="Customer 1063"/>
    <s v="Study Table Lamp"/>
    <x v="1"/>
    <n v="5"/>
    <n v="1200"/>
    <n v="0.2"/>
    <x v="19"/>
    <n v="4251.8900000000003"/>
    <n v="548.11"/>
    <s v="Kolkata"/>
    <x v="5"/>
    <x v="0"/>
    <x v="2"/>
    <x v="0"/>
  </r>
  <r>
    <s v="ORD0255"/>
    <x v="175"/>
    <s v="CUST1069"/>
    <s v="Customer 1069"/>
    <s v="Mixer Grinder"/>
    <x v="1"/>
    <n v="1"/>
    <n v="2800"/>
    <n v="0.2"/>
    <x v="85"/>
    <n v="2062.9"/>
    <n v="177.1"/>
    <s v="Bengaluru"/>
    <x v="4"/>
    <x v="2"/>
    <x v="0"/>
    <x v="0"/>
  </r>
  <r>
    <s v="ORD0256"/>
    <x v="19"/>
    <s v="CUST1123"/>
    <s v="Customer 1123"/>
    <s v="Headphones"/>
    <x v="0"/>
    <n v="2"/>
    <n v="1800"/>
    <n v="0.2"/>
    <x v="47"/>
    <n v="2512.96"/>
    <n v="367.04"/>
    <s v="Mumbai"/>
    <x v="0"/>
    <x v="1"/>
    <x v="1"/>
    <x v="0"/>
  </r>
  <r>
    <s v="ORD0257"/>
    <x v="161"/>
    <s v="CUST1179"/>
    <s v="Customer 1179"/>
    <s v="T-Shirt"/>
    <x v="3"/>
    <n v="2"/>
    <n v="800"/>
    <n v="0"/>
    <x v="45"/>
    <n v="1262.42"/>
    <n v="337.58"/>
    <s v="Mumbai"/>
    <x v="0"/>
    <x v="0"/>
    <x v="3"/>
    <x v="0"/>
  </r>
  <r>
    <s v="ORD0258"/>
    <x v="54"/>
    <s v="CUST1079"/>
    <s v="Customer 1079"/>
    <s v="Coffee Maker"/>
    <x v="1"/>
    <n v="3"/>
    <n v="3500"/>
    <n v="0.15"/>
    <x v="146"/>
    <n v="7456.67"/>
    <n v="1468.33"/>
    <s v="Delhi"/>
    <x v="3"/>
    <x v="0"/>
    <x v="3"/>
    <x v="0"/>
  </r>
  <r>
    <s v="ORD0259"/>
    <x v="176"/>
    <s v="CUST1081"/>
    <s v="Customer 1081"/>
    <s v="Smartwatch"/>
    <x v="0"/>
    <n v="4"/>
    <n v="4500"/>
    <n v="0.1"/>
    <x v="7"/>
    <n v="13413.67"/>
    <n v="2786.33"/>
    <s v="Delhi"/>
    <x v="3"/>
    <x v="2"/>
    <x v="4"/>
    <x v="2"/>
  </r>
  <r>
    <s v="ORD0260"/>
    <x v="69"/>
    <s v="CUST1076"/>
    <s v="Customer 1076"/>
    <s v="Backpack"/>
    <x v="5"/>
    <n v="1"/>
    <n v="1400"/>
    <n v="0.1"/>
    <x v="147"/>
    <n v="959.08"/>
    <n v="300.92"/>
    <s v="Kolkata"/>
    <x v="5"/>
    <x v="2"/>
    <x v="4"/>
    <x v="0"/>
  </r>
  <r>
    <s v="ORD0261"/>
    <x v="177"/>
    <s v="CUST1066"/>
    <s v="Customer 1066"/>
    <s v="Jeans"/>
    <x v="3"/>
    <n v="4"/>
    <n v="1800"/>
    <n v="0.2"/>
    <x v="106"/>
    <n v="5944.13"/>
    <n v="-184.13"/>
    <s v="Delhi"/>
    <x v="3"/>
    <x v="0"/>
    <x v="3"/>
    <x v="0"/>
  </r>
  <r>
    <s v="ORD0262"/>
    <x v="178"/>
    <s v="CUST1048"/>
    <s v="Customer 1048"/>
    <s v="Shoes"/>
    <x v="3"/>
    <n v="3"/>
    <n v="2800"/>
    <n v="0.05"/>
    <x v="126"/>
    <n v="7231.45"/>
    <n v="748.55"/>
    <s v="Mysuru"/>
    <x v="4"/>
    <x v="1"/>
    <x v="2"/>
    <x v="1"/>
  </r>
  <r>
    <s v="ORD0263"/>
    <x v="118"/>
    <s v="CUST1036"/>
    <s v="Customer 1036"/>
    <s v="Smartphone"/>
    <x v="0"/>
    <n v="1"/>
    <n v="22000"/>
    <n v="0"/>
    <x v="148"/>
    <n v="18563.28"/>
    <n v="3436.72"/>
    <s v="Kolkata"/>
    <x v="5"/>
    <x v="0"/>
    <x v="2"/>
    <x v="2"/>
  </r>
  <r>
    <s v="ORD0264"/>
    <x v="169"/>
    <s v="CUST1096"/>
    <s v="Customer 1096"/>
    <s v="Backpack"/>
    <x v="5"/>
    <n v="1"/>
    <n v="1400"/>
    <n v="0.05"/>
    <x v="149"/>
    <n v="929.46"/>
    <n v="400.54"/>
    <s v="Mysuru"/>
    <x v="4"/>
    <x v="0"/>
    <x v="0"/>
    <x v="0"/>
  </r>
  <r>
    <s v="ORD0265"/>
    <x v="179"/>
    <s v="CUST1004"/>
    <s v="Customer 1004"/>
    <s v="Keyboard"/>
    <x v="0"/>
    <n v="1"/>
    <n v="2200"/>
    <n v="0"/>
    <x v="150"/>
    <n v="1438.46"/>
    <n v="761.54"/>
    <s v="Kolkata"/>
    <x v="5"/>
    <x v="1"/>
    <x v="1"/>
    <x v="1"/>
  </r>
  <r>
    <s v="ORD0266"/>
    <x v="180"/>
    <s v="CUST1207"/>
    <s v="Customer 1207"/>
    <s v="Desk"/>
    <x v="2"/>
    <n v="1"/>
    <n v="6000"/>
    <n v="0.2"/>
    <x v="19"/>
    <n v="5196.8"/>
    <n v="-396.8"/>
    <s v="Kolkata"/>
    <x v="5"/>
    <x v="2"/>
    <x v="2"/>
    <x v="0"/>
  </r>
  <r>
    <s v="ORD0267"/>
    <x v="100"/>
    <s v="CUST1209"/>
    <s v="Customer 1209"/>
    <s v="Backpack"/>
    <x v="5"/>
    <n v="2"/>
    <n v="1400"/>
    <n v="0.05"/>
    <x v="29"/>
    <n v="2048.2600000000002"/>
    <n v="611.74"/>
    <s v="Pune"/>
    <x v="0"/>
    <x v="1"/>
    <x v="2"/>
    <x v="0"/>
  </r>
  <r>
    <s v="ORD0268"/>
    <x v="181"/>
    <s v="CUST1077"/>
    <s v="Customer 1077"/>
    <s v="Book"/>
    <x v="4"/>
    <n v="4"/>
    <n v="450"/>
    <n v="0.2"/>
    <x v="95"/>
    <n v="1453.19"/>
    <n v="-13.19"/>
    <s v="Mumbai"/>
    <x v="0"/>
    <x v="0"/>
    <x v="2"/>
    <x v="0"/>
  </r>
  <r>
    <s v="ORD0269"/>
    <x v="35"/>
    <s v="CUST1015"/>
    <s v="Customer 1015"/>
    <s v="Book"/>
    <x v="4"/>
    <n v="4"/>
    <n v="450"/>
    <n v="0.15"/>
    <x v="68"/>
    <n v="1433.61"/>
    <n v="96.39"/>
    <s v="Mysuru"/>
    <x v="4"/>
    <x v="1"/>
    <x v="4"/>
    <x v="0"/>
  </r>
  <r>
    <s v="ORD0270"/>
    <x v="115"/>
    <s v="CUST1230"/>
    <s v="Customer 1230"/>
    <s v="Keyboard"/>
    <x v="0"/>
    <n v="4"/>
    <n v="2200"/>
    <n v="0.1"/>
    <x v="151"/>
    <n v="6788.99"/>
    <n v="1131.01"/>
    <s v="Chennai"/>
    <x v="1"/>
    <x v="0"/>
    <x v="4"/>
    <x v="0"/>
  </r>
  <r>
    <s v="ORD0271"/>
    <x v="63"/>
    <s v="CUST1231"/>
    <s v="Customer 1231"/>
    <s v="Keyboard"/>
    <x v="0"/>
    <n v="3"/>
    <n v="2200"/>
    <n v="0"/>
    <x v="32"/>
    <n v="5114.32"/>
    <n v="1485.68"/>
    <s v="Pune"/>
    <x v="0"/>
    <x v="2"/>
    <x v="2"/>
    <x v="0"/>
  </r>
  <r>
    <s v="ORD0272"/>
    <x v="93"/>
    <s v="CUST1193"/>
    <s v="Customer 1193"/>
    <s v="Coffee Maker"/>
    <x v="1"/>
    <n v="1"/>
    <n v="3500"/>
    <n v="0.05"/>
    <x v="9"/>
    <n v="2935.66"/>
    <n v="389.34"/>
    <s v="Hyderabad"/>
    <x v="2"/>
    <x v="2"/>
    <x v="2"/>
    <x v="0"/>
  </r>
  <r>
    <s v="ORD0273"/>
    <x v="182"/>
    <s v="CUST1174"/>
    <s v="Customer 1174"/>
    <s v="Shoes"/>
    <x v="3"/>
    <n v="5"/>
    <n v="2800"/>
    <n v="0.05"/>
    <x v="6"/>
    <n v="11986.81"/>
    <n v="1313.19"/>
    <s v="Kolkata"/>
    <x v="5"/>
    <x v="1"/>
    <x v="3"/>
    <x v="2"/>
  </r>
  <r>
    <s v="ORD0274"/>
    <x v="149"/>
    <s v="CUST1026"/>
    <s v="Customer 1026"/>
    <s v="Backpack"/>
    <x v="5"/>
    <n v="1"/>
    <n v="1400"/>
    <n v="0.2"/>
    <x v="152"/>
    <n v="1050.74"/>
    <n v="69.260000000000005"/>
    <s v="Bengaluru"/>
    <x v="4"/>
    <x v="2"/>
    <x v="1"/>
    <x v="1"/>
  </r>
  <r>
    <s v="ORD0275"/>
    <x v="183"/>
    <s v="CUST1201"/>
    <s v="Customer 1201"/>
    <s v="Book"/>
    <x v="4"/>
    <n v="3"/>
    <n v="450"/>
    <n v="0"/>
    <x v="153"/>
    <n v="1185.7"/>
    <n v="164.3"/>
    <s v="Pune"/>
    <x v="0"/>
    <x v="2"/>
    <x v="4"/>
    <x v="0"/>
  </r>
  <r>
    <s v="ORD0276"/>
    <x v="184"/>
    <s v="CUST1022"/>
    <s v="Customer 1022"/>
    <s v="Book"/>
    <x v="4"/>
    <n v="4"/>
    <n v="450"/>
    <n v="0.05"/>
    <x v="57"/>
    <n v="1489.68"/>
    <n v="220.32"/>
    <s v="Kolkata"/>
    <x v="5"/>
    <x v="1"/>
    <x v="4"/>
    <x v="2"/>
  </r>
  <r>
    <s v="ORD0277"/>
    <x v="3"/>
    <s v="CUST1183"/>
    <s v="Customer 1183"/>
    <s v="Headphones"/>
    <x v="0"/>
    <n v="1"/>
    <n v="1800"/>
    <n v="0.1"/>
    <x v="17"/>
    <n v="1494.53"/>
    <n v="125.47"/>
    <s v="Kolkata"/>
    <x v="5"/>
    <x v="2"/>
    <x v="3"/>
    <x v="0"/>
  </r>
  <r>
    <s v="ORD0278"/>
    <x v="185"/>
    <s v="CUST1114"/>
    <s v="Customer 1114"/>
    <s v="Mixer Grinder"/>
    <x v="1"/>
    <n v="1"/>
    <n v="2800"/>
    <n v="0"/>
    <x v="109"/>
    <n v="2051.79"/>
    <n v="748.21"/>
    <s v="Pune"/>
    <x v="0"/>
    <x v="2"/>
    <x v="2"/>
    <x v="0"/>
  </r>
  <r>
    <s v="ORD0279"/>
    <x v="24"/>
    <s v="CUST1027"/>
    <s v="Customer 1027"/>
    <s v="Headphones"/>
    <x v="0"/>
    <n v="2"/>
    <n v="1800"/>
    <n v="0.15"/>
    <x v="154"/>
    <n v="2361.7399999999998"/>
    <n v="698.26"/>
    <s v="Kolkata"/>
    <x v="5"/>
    <x v="0"/>
    <x v="0"/>
    <x v="0"/>
  </r>
  <r>
    <s v="ORD0280"/>
    <x v="82"/>
    <s v="CUST1100"/>
    <s v="Customer 1100"/>
    <s v="Coffee Maker"/>
    <x v="1"/>
    <n v="4"/>
    <n v="3500"/>
    <n v="0"/>
    <x v="14"/>
    <n v="11608.92"/>
    <n v="2391.08"/>
    <s v="Kolkata"/>
    <x v="5"/>
    <x v="1"/>
    <x v="0"/>
    <x v="0"/>
  </r>
  <r>
    <s v="ORD0281"/>
    <x v="178"/>
    <s v="CUST1078"/>
    <s v="Customer 1078"/>
    <s v="Shoes"/>
    <x v="3"/>
    <n v="4"/>
    <n v="2800"/>
    <n v="0.05"/>
    <x v="54"/>
    <n v="7971.42"/>
    <n v="2668.58"/>
    <s v="Pune"/>
    <x v="0"/>
    <x v="2"/>
    <x v="2"/>
    <x v="0"/>
  </r>
  <r>
    <s v="ORD0282"/>
    <x v="174"/>
    <s v="CUST1201"/>
    <s v="Customer 1201"/>
    <s v="Study Table Lamp"/>
    <x v="1"/>
    <n v="3"/>
    <n v="1200"/>
    <n v="0.15"/>
    <x v="154"/>
    <n v="2403.69"/>
    <n v="656.31"/>
    <s v="Mysuru"/>
    <x v="4"/>
    <x v="1"/>
    <x v="4"/>
    <x v="2"/>
  </r>
  <r>
    <s v="ORD0283"/>
    <x v="186"/>
    <s v="CUST1028"/>
    <s v="Customer 1028"/>
    <s v="Keyboard"/>
    <x v="0"/>
    <n v="5"/>
    <n v="2200"/>
    <n v="0.2"/>
    <x v="155"/>
    <n v="7492.79"/>
    <n v="1307.21"/>
    <s v="Mysuru"/>
    <x v="4"/>
    <x v="0"/>
    <x v="3"/>
    <x v="0"/>
  </r>
  <r>
    <s v="ORD0284"/>
    <x v="187"/>
    <s v="CUST1209"/>
    <s v="Customer 1209"/>
    <s v="Book"/>
    <x v="4"/>
    <n v="3"/>
    <n v="450"/>
    <n v="0.15"/>
    <x v="156"/>
    <n v="1133.21"/>
    <n v="14.29"/>
    <s v="Kolkata"/>
    <x v="5"/>
    <x v="2"/>
    <x v="0"/>
    <x v="0"/>
  </r>
  <r>
    <s v="ORD0285"/>
    <x v="90"/>
    <s v="CUST1123"/>
    <s v="Customer 1123"/>
    <s v="Desk"/>
    <x v="2"/>
    <n v="3"/>
    <n v="6000"/>
    <n v="0.2"/>
    <x v="157"/>
    <n v="13000.72"/>
    <n v="1399.28"/>
    <s v="Mumbai"/>
    <x v="0"/>
    <x v="2"/>
    <x v="1"/>
    <x v="0"/>
  </r>
  <r>
    <s v="ORD0286"/>
    <x v="121"/>
    <s v="CUST1072"/>
    <s v="Customer 1072"/>
    <s v="Keyboard"/>
    <x v="0"/>
    <n v="5"/>
    <n v="2200"/>
    <n v="0.05"/>
    <x v="141"/>
    <n v="9215.73"/>
    <n v="1234.27"/>
    <s v="Kolkata"/>
    <x v="5"/>
    <x v="0"/>
    <x v="1"/>
    <x v="0"/>
  </r>
  <r>
    <s v="ORD0287"/>
    <x v="188"/>
    <s v="CUST1244"/>
    <s v="Customer 1244"/>
    <s v="T-Shirt"/>
    <x v="3"/>
    <n v="5"/>
    <n v="800"/>
    <n v="0.2"/>
    <x v="158"/>
    <n v="3269.04"/>
    <n v="-69.040000000000006"/>
    <s v="Bengaluru"/>
    <x v="4"/>
    <x v="1"/>
    <x v="4"/>
    <x v="0"/>
  </r>
  <r>
    <s v="ORD0288"/>
    <x v="23"/>
    <s v="CUST1036"/>
    <s v="Customer 1036"/>
    <s v="Desk"/>
    <x v="2"/>
    <n v="1"/>
    <n v="6000"/>
    <n v="0.15"/>
    <x v="49"/>
    <n v="4774"/>
    <n v="326"/>
    <s v="Mysuru"/>
    <x v="4"/>
    <x v="2"/>
    <x v="1"/>
    <x v="2"/>
  </r>
  <r>
    <s v="ORD0289"/>
    <x v="189"/>
    <s v="CUST1154"/>
    <s v="Customer 1154"/>
    <s v="Backpack"/>
    <x v="5"/>
    <n v="4"/>
    <n v="1400"/>
    <n v="0.15"/>
    <x v="117"/>
    <n v="4257.25"/>
    <n v="502.75"/>
    <s v="Mysuru"/>
    <x v="4"/>
    <x v="0"/>
    <x v="0"/>
    <x v="1"/>
  </r>
  <r>
    <s v="ORD0290"/>
    <x v="190"/>
    <s v="CUST1028"/>
    <s v="Customer 1028"/>
    <s v="Study Table Lamp"/>
    <x v="1"/>
    <n v="5"/>
    <n v="1200"/>
    <n v="0"/>
    <x v="159"/>
    <n v="4961.16"/>
    <n v="1038.8399999999999"/>
    <s v="Chennai"/>
    <x v="1"/>
    <x v="2"/>
    <x v="1"/>
    <x v="0"/>
  </r>
  <r>
    <s v="ORD0291"/>
    <x v="191"/>
    <s v="CUST1028"/>
    <s v="Customer 1028"/>
    <s v="Smartphone"/>
    <x v="0"/>
    <n v="5"/>
    <n v="22000"/>
    <n v="0.15"/>
    <x v="122"/>
    <n v="71766.86"/>
    <n v="21733.14"/>
    <s v="Kolkata"/>
    <x v="5"/>
    <x v="0"/>
    <x v="4"/>
    <x v="1"/>
  </r>
  <r>
    <s v="ORD0292"/>
    <x v="192"/>
    <s v="CUST1198"/>
    <s v="Customer 1198"/>
    <s v="Jeans"/>
    <x v="3"/>
    <n v="4"/>
    <n v="1800"/>
    <n v="0.1"/>
    <x v="87"/>
    <n v="5805.34"/>
    <n v="674.66"/>
    <s v="Mysuru"/>
    <x v="4"/>
    <x v="1"/>
    <x v="0"/>
    <x v="0"/>
  </r>
  <r>
    <s v="ORD0293"/>
    <x v="193"/>
    <s v="CUST1107"/>
    <s v="Customer 1107"/>
    <s v="Mixer Grinder"/>
    <x v="1"/>
    <n v="1"/>
    <n v="2800"/>
    <n v="0.15"/>
    <x v="43"/>
    <n v="2412.83"/>
    <n v="-32.83"/>
    <s v="Pune"/>
    <x v="0"/>
    <x v="2"/>
    <x v="2"/>
    <x v="2"/>
  </r>
  <r>
    <s v="ORD0294"/>
    <x v="194"/>
    <s v="CUST1201"/>
    <s v="Customer 1201"/>
    <s v="Backpack"/>
    <x v="5"/>
    <n v="3"/>
    <n v="1400"/>
    <n v="0.1"/>
    <x v="31"/>
    <n v="2929.83"/>
    <n v="850.17"/>
    <s v="Mysuru"/>
    <x v="4"/>
    <x v="0"/>
    <x v="1"/>
    <x v="0"/>
  </r>
  <r>
    <s v="ORD0295"/>
    <x v="173"/>
    <s v="CUST1077"/>
    <s v="Customer 1077"/>
    <s v="Smartwatch"/>
    <x v="0"/>
    <n v="4"/>
    <n v="4500"/>
    <n v="0.15"/>
    <x v="90"/>
    <n v="11884.99"/>
    <n v="3415.01"/>
    <s v="Chennai"/>
    <x v="1"/>
    <x v="0"/>
    <x v="2"/>
    <x v="0"/>
  </r>
  <r>
    <s v="ORD0296"/>
    <x v="181"/>
    <s v="CUST1142"/>
    <s v="Customer 1142"/>
    <s v="Coffee Maker"/>
    <x v="1"/>
    <n v="1"/>
    <n v="3500"/>
    <n v="0.05"/>
    <x v="9"/>
    <n v="2403.91"/>
    <n v="921.09"/>
    <s v="Hyderabad"/>
    <x v="2"/>
    <x v="0"/>
    <x v="3"/>
    <x v="0"/>
  </r>
  <r>
    <s v="ORD0297"/>
    <x v="195"/>
    <s v="CUST1102"/>
    <s v="Customer 1102"/>
    <s v="Jeans"/>
    <x v="3"/>
    <n v="4"/>
    <n v="1800"/>
    <n v="0.05"/>
    <x v="53"/>
    <n v="4728.34"/>
    <n v="2111.66"/>
    <s v="Kolkata"/>
    <x v="5"/>
    <x v="0"/>
    <x v="4"/>
    <x v="0"/>
  </r>
  <r>
    <s v="ORD0298"/>
    <x v="7"/>
    <s v="CUST1053"/>
    <s v="Customer 1053"/>
    <s v="Study Table Lamp"/>
    <x v="1"/>
    <n v="4"/>
    <n v="1200"/>
    <n v="0"/>
    <x v="19"/>
    <n v="3427.29"/>
    <n v="1372.71"/>
    <s v="Mumbai"/>
    <x v="0"/>
    <x v="2"/>
    <x v="2"/>
    <x v="1"/>
  </r>
  <r>
    <s v="ORD0299"/>
    <x v="196"/>
    <s v="CUST1051"/>
    <s v="Customer 1051"/>
    <s v="Smartwatch"/>
    <x v="0"/>
    <n v="5"/>
    <n v="4500"/>
    <n v="0.05"/>
    <x v="100"/>
    <n v="16992.82"/>
    <n v="4382.18"/>
    <s v="Delhi"/>
    <x v="3"/>
    <x v="2"/>
    <x v="3"/>
    <x v="1"/>
  </r>
  <r>
    <s v="ORD0300"/>
    <x v="197"/>
    <s v="CUST1151"/>
    <s v="Customer 1151"/>
    <s v="Coffee Maker"/>
    <x v="1"/>
    <n v="5"/>
    <n v="3500"/>
    <n v="0.15"/>
    <x v="160"/>
    <n v="11834.78"/>
    <n v="3040.22"/>
    <s v="Kolkata"/>
    <x v="5"/>
    <x v="1"/>
    <x v="3"/>
    <x v="1"/>
  </r>
  <r>
    <s v="ORD0301"/>
    <x v="198"/>
    <s v="CUST1173"/>
    <s v="Customer 1173"/>
    <s v="Shoes"/>
    <x v="3"/>
    <n v="3"/>
    <n v="2800"/>
    <n v="0.2"/>
    <x v="130"/>
    <n v="5718.79"/>
    <n v="1001.21"/>
    <s v="Chennai"/>
    <x v="1"/>
    <x v="0"/>
    <x v="4"/>
    <x v="0"/>
  </r>
  <r>
    <s v="ORD0302"/>
    <x v="90"/>
    <s v="CUST1131"/>
    <s v="Customer 1131"/>
    <s v="Smartwatch"/>
    <x v="0"/>
    <n v="2"/>
    <n v="4500"/>
    <n v="0.1"/>
    <x v="64"/>
    <n v="6654.12"/>
    <n v="1445.88"/>
    <s v="Hyderabad"/>
    <x v="2"/>
    <x v="2"/>
    <x v="4"/>
    <x v="1"/>
  </r>
  <r>
    <s v="ORD0303"/>
    <x v="199"/>
    <s v="CUST1143"/>
    <s v="Customer 1143"/>
    <s v="Book"/>
    <x v="4"/>
    <n v="4"/>
    <n v="450"/>
    <n v="0.05"/>
    <x v="57"/>
    <n v="1239.08"/>
    <n v="470.92"/>
    <s v="Hyderabad"/>
    <x v="2"/>
    <x v="1"/>
    <x v="4"/>
    <x v="0"/>
  </r>
  <r>
    <s v="ORD0304"/>
    <x v="200"/>
    <s v="CUST1244"/>
    <s v="Customer 1244"/>
    <s v="Coffee Maker"/>
    <x v="1"/>
    <n v="4"/>
    <n v="3500"/>
    <n v="0.2"/>
    <x v="40"/>
    <n v="9130.86"/>
    <n v="2069.14"/>
    <s v="Delhi"/>
    <x v="3"/>
    <x v="0"/>
    <x v="4"/>
    <x v="0"/>
  </r>
  <r>
    <s v="ORD0305"/>
    <x v="201"/>
    <s v="CUST1126"/>
    <s v="Customer 1126"/>
    <s v="Keyboard"/>
    <x v="0"/>
    <n v="4"/>
    <n v="2200"/>
    <n v="0.15"/>
    <x v="161"/>
    <n v="6058.52"/>
    <n v="1421.48"/>
    <s v="Mysuru"/>
    <x v="4"/>
    <x v="0"/>
    <x v="2"/>
    <x v="0"/>
  </r>
  <r>
    <s v="ORD0306"/>
    <x v="202"/>
    <s v="CUST1044"/>
    <s v="Customer 1044"/>
    <s v="Desk"/>
    <x v="2"/>
    <n v="1"/>
    <n v="6000"/>
    <n v="0.1"/>
    <x v="112"/>
    <n v="4977.42"/>
    <n v="422.58"/>
    <s v="Pune"/>
    <x v="0"/>
    <x v="1"/>
    <x v="3"/>
    <x v="1"/>
  </r>
  <r>
    <s v="ORD0307"/>
    <x v="203"/>
    <s v="CUST1139"/>
    <s v="Customer 1139"/>
    <s v="Smartwatch"/>
    <x v="0"/>
    <n v="5"/>
    <n v="4500"/>
    <n v="0"/>
    <x v="13"/>
    <n v="18882.009999999998"/>
    <n v="3617.99"/>
    <s v="Delhi"/>
    <x v="3"/>
    <x v="1"/>
    <x v="3"/>
    <x v="1"/>
  </r>
  <r>
    <s v="ORD0308"/>
    <x v="204"/>
    <s v="CUST1077"/>
    <s v="Customer 1077"/>
    <s v="T-Shirt"/>
    <x v="3"/>
    <n v="4"/>
    <n v="800"/>
    <n v="0"/>
    <x v="158"/>
    <n v="2723.86"/>
    <n v="476.14"/>
    <s v="Mumbai"/>
    <x v="0"/>
    <x v="0"/>
    <x v="3"/>
    <x v="0"/>
  </r>
  <r>
    <s v="ORD0309"/>
    <x v="72"/>
    <s v="CUST1054"/>
    <s v="Customer 1054"/>
    <s v="Mixer Grinder"/>
    <x v="1"/>
    <n v="1"/>
    <n v="2800"/>
    <n v="0.15"/>
    <x v="43"/>
    <n v="2342.09"/>
    <n v="37.909999999999997"/>
    <s v="Mumbai"/>
    <x v="0"/>
    <x v="1"/>
    <x v="1"/>
    <x v="2"/>
  </r>
  <r>
    <s v="ORD0310"/>
    <x v="178"/>
    <s v="CUST1209"/>
    <s v="Customer 1209"/>
    <s v="Study Table Lamp"/>
    <x v="1"/>
    <n v="2"/>
    <n v="1200"/>
    <n v="0.2"/>
    <x v="76"/>
    <n v="1674.23"/>
    <n v="245.77"/>
    <s v="Mumbai"/>
    <x v="0"/>
    <x v="0"/>
    <x v="0"/>
    <x v="0"/>
  </r>
  <r>
    <s v="ORD0311"/>
    <x v="205"/>
    <s v="CUST1181"/>
    <s v="Customer 1181"/>
    <s v="Office Chair"/>
    <x v="2"/>
    <n v="5"/>
    <n v="7500"/>
    <n v="0.2"/>
    <x v="59"/>
    <n v="26898.97"/>
    <n v="3101.03"/>
    <s v="Delhi"/>
    <x v="3"/>
    <x v="0"/>
    <x v="1"/>
    <x v="1"/>
  </r>
  <r>
    <s v="ORD0312"/>
    <x v="206"/>
    <s v="CUST1222"/>
    <s v="Customer 1222"/>
    <s v="Smartwatch"/>
    <x v="0"/>
    <n v="2"/>
    <n v="4500"/>
    <n v="0.15"/>
    <x v="78"/>
    <n v="7207.71"/>
    <n v="442.29"/>
    <s v="Pune"/>
    <x v="0"/>
    <x v="0"/>
    <x v="4"/>
    <x v="0"/>
  </r>
  <r>
    <s v="ORD0313"/>
    <x v="207"/>
    <s v="CUST1126"/>
    <s v="Customer 1126"/>
    <s v="Backpack"/>
    <x v="5"/>
    <n v="3"/>
    <n v="1400"/>
    <n v="0.05"/>
    <x v="162"/>
    <n v="2867.34"/>
    <n v="1122.6600000000001"/>
    <s v="Kolkata"/>
    <x v="5"/>
    <x v="2"/>
    <x v="1"/>
    <x v="2"/>
  </r>
  <r>
    <s v="ORD0314"/>
    <x v="63"/>
    <s v="CUST1104"/>
    <s v="Customer 1104"/>
    <s v="Study Table Lamp"/>
    <x v="1"/>
    <n v="4"/>
    <n v="1200"/>
    <n v="0.15"/>
    <x v="91"/>
    <n v="3689.24"/>
    <n v="390.76"/>
    <s v="Chennai"/>
    <x v="1"/>
    <x v="0"/>
    <x v="1"/>
    <x v="0"/>
  </r>
  <r>
    <s v="ORD0315"/>
    <x v="208"/>
    <s v="CUST1188"/>
    <s v="Customer 1188"/>
    <s v="Keyboard"/>
    <x v="0"/>
    <n v="3"/>
    <n v="2200"/>
    <n v="0.2"/>
    <x v="163"/>
    <n v="5765.72"/>
    <n v="-485.72"/>
    <s v="Chennai"/>
    <x v="1"/>
    <x v="2"/>
    <x v="1"/>
    <x v="0"/>
  </r>
  <r>
    <s v="ORD0316"/>
    <x v="209"/>
    <s v="CUST1069"/>
    <s v="Customer 1069"/>
    <s v="Book"/>
    <x v="4"/>
    <n v="2"/>
    <n v="450"/>
    <n v="0"/>
    <x v="80"/>
    <n v="651.83000000000004"/>
    <n v="113.17"/>
    <s v="Mysuru"/>
    <x v="4"/>
    <x v="2"/>
    <x v="1"/>
    <x v="1"/>
  </r>
  <r>
    <s v="ORD0317"/>
    <x v="194"/>
    <s v="CUST1012"/>
    <s v="Customer 1012"/>
    <s v="Backpack"/>
    <x v="5"/>
    <n v="5"/>
    <n v="1400"/>
    <n v="0.15"/>
    <x v="10"/>
    <n v="4710.32"/>
    <n v="1239.68"/>
    <s v="Bengaluru"/>
    <x v="4"/>
    <x v="1"/>
    <x v="2"/>
    <x v="0"/>
  </r>
  <r>
    <s v="ORD0318"/>
    <x v="46"/>
    <s v="CUST1052"/>
    <s v="Customer 1052"/>
    <s v="Shoes"/>
    <x v="3"/>
    <n v="4"/>
    <n v="2800"/>
    <n v="0.15"/>
    <x v="135"/>
    <n v="9844.91"/>
    <n v="-324.91000000000003"/>
    <s v="Kolkata"/>
    <x v="5"/>
    <x v="0"/>
    <x v="1"/>
    <x v="0"/>
  </r>
  <r>
    <s v="ORD0319"/>
    <x v="68"/>
    <s v="CUST1096"/>
    <s v="Customer 1096"/>
    <s v="Office Chair"/>
    <x v="2"/>
    <n v="1"/>
    <n v="7500"/>
    <n v="0.1"/>
    <x v="79"/>
    <n v="6021.28"/>
    <n v="728.72"/>
    <s v="Chennai"/>
    <x v="1"/>
    <x v="1"/>
    <x v="4"/>
    <x v="0"/>
  </r>
  <r>
    <s v="ORD0320"/>
    <x v="64"/>
    <s v="CUST1181"/>
    <s v="Customer 1181"/>
    <s v="Book"/>
    <x v="4"/>
    <n v="3"/>
    <n v="450"/>
    <n v="0.05"/>
    <x v="93"/>
    <n v="907.05"/>
    <n v="375.45"/>
    <s v="Chennai"/>
    <x v="1"/>
    <x v="2"/>
    <x v="3"/>
    <x v="0"/>
  </r>
  <r>
    <s v="ORD0321"/>
    <x v="80"/>
    <s v="CUST1003"/>
    <s v="Customer 1003"/>
    <s v="Backpack"/>
    <x v="5"/>
    <n v="5"/>
    <n v="1400"/>
    <n v="0.05"/>
    <x v="134"/>
    <n v="4562.9799999999996"/>
    <n v="2087.02"/>
    <s v="Mysuru"/>
    <x v="4"/>
    <x v="1"/>
    <x v="2"/>
    <x v="0"/>
  </r>
  <r>
    <s v="ORD0322"/>
    <x v="210"/>
    <s v="CUST1023"/>
    <s v="Customer 1023"/>
    <s v="Backpack"/>
    <x v="5"/>
    <n v="4"/>
    <n v="1400"/>
    <n v="0"/>
    <x v="56"/>
    <n v="4581.22"/>
    <n v="1018.78"/>
    <s v="Kolkata"/>
    <x v="5"/>
    <x v="1"/>
    <x v="2"/>
    <x v="0"/>
  </r>
  <r>
    <s v="ORD0323"/>
    <x v="92"/>
    <s v="CUST1165"/>
    <s v="Customer 1165"/>
    <s v="Mixer Grinder"/>
    <x v="1"/>
    <n v="3"/>
    <n v="2800"/>
    <n v="0.05"/>
    <x v="126"/>
    <n v="7378.36"/>
    <n v="601.64"/>
    <s v="Hyderabad"/>
    <x v="2"/>
    <x v="0"/>
    <x v="2"/>
    <x v="1"/>
  </r>
  <r>
    <s v="ORD0324"/>
    <x v="52"/>
    <s v="CUST1185"/>
    <s v="Customer 1185"/>
    <s v="Laptop"/>
    <x v="0"/>
    <n v="5"/>
    <n v="55000"/>
    <n v="0.05"/>
    <x v="164"/>
    <n v="192225.76"/>
    <n v="69024.240000000005"/>
    <s v="Delhi"/>
    <x v="3"/>
    <x v="0"/>
    <x v="4"/>
    <x v="0"/>
  </r>
  <r>
    <s v="ORD0325"/>
    <x v="211"/>
    <s v="CUST1193"/>
    <s v="Customer 1193"/>
    <s v="Gaming Mouse"/>
    <x v="0"/>
    <n v="2"/>
    <n v="1600"/>
    <n v="0"/>
    <x v="158"/>
    <n v="2170.64"/>
    <n v="1029.3599999999999"/>
    <s v="Hyderabad"/>
    <x v="2"/>
    <x v="0"/>
    <x v="3"/>
    <x v="0"/>
  </r>
  <r>
    <s v="ORD0326"/>
    <x v="168"/>
    <s v="CUST1166"/>
    <s v="Customer 1166"/>
    <s v="Study Table Lamp"/>
    <x v="1"/>
    <n v="3"/>
    <n v="1200"/>
    <n v="0.05"/>
    <x v="51"/>
    <n v="2409.7600000000002"/>
    <n v="1010.24"/>
    <s v="Pune"/>
    <x v="0"/>
    <x v="0"/>
    <x v="0"/>
    <x v="1"/>
  </r>
  <r>
    <s v="ORD0327"/>
    <x v="212"/>
    <s v="CUST1192"/>
    <s v="Customer 1192"/>
    <s v="Desk"/>
    <x v="2"/>
    <n v="1"/>
    <n v="6000"/>
    <n v="0.1"/>
    <x v="112"/>
    <n v="4440.62"/>
    <n v="959.38"/>
    <s v="Mumbai"/>
    <x v="0"/>
    <x v="0"/>
    <x v="2"/>
    <x v="0"/>
  </r>
  <r>
    <s v="ORD0328"/>
    <x v="17"/>
    <s v="CUST1164"/>
    <s v="Customer 1164"/>
    <s v="Keyboard"/>
    <x v="0"/>
    <n v="4"/>
    <n v="2200"/>
    <n v="0"/>
    <x v="155"/>
    <n v="6922.11"/>
    <n v="1877.89"/>
    <s v="Mysuru"/>
    <x v="4"/>
    <x v="1"/>
    <x v="2"/>
    <x v="0"/>
  </r>
  <r>
    <s v="ORD0329"/>
    <x v="213"/>
    <s v="CUST1094"/>
    <s v="Customer 1094"/>
    <s v="Coffee Maker"/>
    <x v="1"/>
    <n v="2"/>
    <n v="3500"/>
    <n v="0.15"/>
    <x v="10"/>
    <n v="5429.63"/>
    <n v="520.37"/>
    <s v="Kolkata"/>
    <x v="5"/>
    <x v="1"/>
    <x v="3"/>
    <x v="0"/>
  </r>
  <r>
    <s v="ORD0330"/>
    <x v="214"/>
    <s v="CUST1056"/>
    <s v="Customer 1056"/>
    <s v="Laptop"/>
    <x v="0"/>
    <n v="5"/>
    <n v="55000"/>
    <n v="0"/>
    <x v="165"/>
    <n v="181269.05"/>
    <n v="93730.95"/>
    <s v="Pune"/>
    <x v="0"/>
    <x v="0"/>
    <x v="3"/>
    <x v="1"/>
  </r>
  <r>
    <s v="ORD0331"/>
    <x v="215"/>
    <s v="CUST1022"/>
    <s v="Customer 1022"/>
    <s v="Desk"/>
    <x v="2"/>
    <n v="5"/>
    <n v="6000"/>
    <n v="0.15"/>
    <x v="166"/>
    <n v="23919.71"/>
    <n v="1580.29"/>
    <s v="Kolkata"/>
    <x v="5"/>
    <x v="0"/>
    <x v="0"/>
    <x v="0"/>
  </r>
  <r>
    <s v="ORD0332"/>
    <x v="216"/>
    <s v="CUST1250"/>
    <s v="Customer 1250"/>
    <s v="Office Chair"/>
    <x v="2"/>
    <n v="1"/>
    <n v="7500"/>
    <n v="0.1"/>
    <x v="79"/>
    <n v="6268.9"/>
    <n v="481.1"/>
    <s v="Mumbai"/>
    <x v="0"/>
    <x v="2"/>
    <x v="1"/>
    <x v="0"/>
  </r>
  <r>
    <s v="ORD0333"/>
    <x v="30"/>
    <s v="CUST1063"/>
    <s v="Customer 1063"/>
    <s v="Headphones"/>
    <x v="0"/>
    <n v="3"/>
    <n v="1800"/>
    <n v="0.15"/>
    <x v="114"/>
    <n v="3617.08"/>
    <n v="972.92"/>
    <s v="Bengaluru"/>
    <x v="4"/>
    <x v="1"/>
    <x v="2"/>
    <x v="0"/>
  </r>
  <r>
    <s v="ORD0334"/>
    <x v="217"/>
    <s v="CUST1182"/>
    <s v="Customer 1182"/>
    <s v="Smartphone"/>
    <x v="0"/>
    <n v="3"/>
    <n v="22000"/>
    <n v="0.05"/>
    <x v="94"/>
    <n v="44982.879999999997"/>
    <n v="17717.12"/>
    <s v="Bengaluru"/>
    <x v="4"/>
    <x v="2"/>
    <x v="4"/>
    <x v="0"/>
  </r>
  <r>
    <s v="ORD0335"/>
    <x v="218"/>
    <s v="CUST1096"/>
    <s v="Customer 1096"/>
    <s v="Mixer Grinder"/>
    <x v="1"/>
    <n v="5"/>
    <n v="2800"/>
    <n v="0.2"/>
    <x v="40"/>
    <n v="9508.7199999999993"/>
    <n v="1691.28"/>
    <s v="Hyderabad"/>
    <x v="2"/>
    <x v="0"/>
    <x v="2"/>
    <x v="0"/>
  </r>
  <r>
    <s v="ORD0336"/>
    <x v="165"/>
    <s v="CUST1068"/>
    <s v="Customer 1068"/>
    <s v="Coffee Maker"/>
    <x v="1"/>
    <n v="4"/>
    <n v="3500"/>
    <n v="0.1"/>
    <x v="55"/>
    <n v="11393.68"/>
    <n v="1206.32"/>
    <s v="Chennai"/>
    <x v="1"/>
    <x v="2"/>
    <x v="2"/>
    <x v="0"/>
  </r>
  <r>
    <s v="ORD0337"/>
    <x v="219"/>
    <s v="CUST1220"/>
    <s v="Customer 1220"/>
    <s v="Gaming Mouse"/>
    <x v="0"/>
    <n v="5"/>
    <n v="1600"/>
    <n v="0.1"/>
    <x v="26"/>
    <n v="6243.07"/>
    <n v="956.93"/>
    <s v="Mysuru"/>
    <x v="4"/>
    <x v="1"/>
    <x v="4"/>
    <x v="0"/>
  </r>
  <r>
    <s v="ORD0338"/>
    <x v="39"/>
    <s v="CUST1012"/>
    <s v="Customer 1012"/>
    <s v="Smartwatch"/>
    <x v="0"/>
    <n v="5"/>
    <n v="4500"/>
    <n v="0"/>
    <x v="13"/>
    <n v="19068.72"/>
    <n v="3431.28"/>
    <s v="Bengaluru"/>
    <x v="4"/>
    <x v="1"/>
    <x v="4"/>
    <x v="0"/>
  </r>
  <r>
    <s v="ORD0339"/>
    <x v="220"/>
    <s v="CUST1239"/>
    <s v="Customer 1239"/>
    <s v="Keyboard"/>
    <x v="0"/>
    <n v="3"/>
    <n v="2200"/>
    <n v="0.15"/>
    <x v="167"/>
    <n v="5747.8"/>
    <n v="-137.80000000000001"/>
    <s v="Hyderabad"/>
    <x v="2"/>
    <x v="2"/>
    <x v="0"/>
    <x v="2"/>
  </r>
  <r>
    <s v="ORD0340"/>
    <x v="221"/>
    <s v="CUST1235"/>
    <s v="Customer 1235"/>
    <s v="Study Table Lamp"/>
    <x v="1"/>
    <n v="2"/>
    <n v="1200"/>
    <n v="0.1"/>
    <x v="168"/>
    <n v="1957.6"/>
    <n v="202.4"/>
    <s v="Kolkata"/>
    <x v="5"/>
    <x v="0"/>
    <x v="2"/>
    <x v="1"/>
  </r>
  <r>
    <s v="ORD0341"/>
    <x v="23"/>
    <s v="CUST1046"/>
    <s v="Customer 1046"/>
    <s v="Mixer Grinder"/>
    <x v="1"/>
    <n v="1"/>
    <n v="2800"/>
    <n v="0.2"/>
    <x v="85"/>
    <n v="1963.73"/>
    <n v="276.27"/>
    <s v="Bengaluru"/>
    <x v="4"/>
    <x v="1"/>
    <x v="2"/>
    <x v="0"/>
  </r>
  <r>
    <s v="ORD0342"/>
    <x v="222"/>
    <s v="CUST1023"/>
    <s v="Customer 1023"/>
    <s v="Headphones"/>
    <x v="0"/>
    <n v="4"/>
    <n v="1800"/>
    <n v="0.1"/>
    <x v="87"/>
    <n v="5595.92"/>
    <n v="884.08"/>
    <s v="Delhi"/>
    <x v="3"/>
    <x v="2"/>
    <x v="1"/>
    <x v="0"/>
  </r>
  <r>
    <s v="ORD0343"/>
    <x v="57"/>
    <s v="CUST1119"/>
    <s v="Customer 1119"/>
    <s v="Desk"/>
    <x v="2"/>
    <n v="5"/>
    <n v="6000"/>
    <n v="0.1"/>
    <x v="86"/>
    <n v="22041.09"/>
    <n v="4958.91"/>
    <s v="Mumbai"/>
    <x v="0"/>
    <x v="0"/>
    <x v="4"/>
    <x v="2"/>
  </r>
  <r>
    <s v="ORD0344"/>
    <x v="87"/>
    <s v="CUST1060"/>
    <s v="Customer 1060"/>
    <s v="Jeans"/>
    <x v="3"/>
    <n v="2"/>
    <n v="1800"/>
    <n v="0"/>
    <x v="25"/>
    <n v="2788.4"/>
    <n v="811.6"/>
    <s v="Bengaluru"/>
    <x v="4"/>
    <x v="2"/>
    <x v="2"/>
    <x v="0"/>
  </r>
  <r>
    <s v="ORD0345"/>
    <x v="193"/>
    <s v="CUST1136"/>
    <s v="Customer 1136"/>
    <s v="Laptop"/>
    <x v="0"/>
    <n v="4"/>
    <n v="55000"/>
    <n v="0.1"/>
    <x v="60"/>
    <n v="192745.66"/>
    <n v="5254.34"/>
    <s v="Mumbai"/>
    <x v="0"/>
    <x v="2"/>
    <x v="3"/>
    <x v="0"/>
  </r>
  <r>
    <s v="ORD0346"/>
    <x v="85"/>
    <s v="CUST1230"/>
    <s v="Customer 1230"/>
    <s v="Backpack"/>
    <x v="5"/>
    <n v="3"/>
    <n v="1400"/>
    <n v="0"/>
    <x v="125"/>
    <n v="3546.76"/>
    <n v="653.24"/>
    <s v="Mumbai"/>
    <x v="0"/>
    <x v="1"/>
    <x v="1"/>
    <x v="0"/>
  </r>
  <r>
    <s v="ORD0347"/>
    <x v="169"/>
    <s v="CUST1164"/>
    <s v="Customer 1164"/>
    <s v="Headphones"/>
    <x v="0"/>
    <n v="5"/>
    <n v="1800"/>
    <n v="0"/>
    <x v="72"/>
    <n v="7547.32"/>
    <n v="1452.68"/>
    <s v="Hyderabad"/>
    <x v="2"/>
    <x v="2"/>
    <x v="0"/>
    <x v="1"/>
  </r>
  <r>
    <s v="ORD0348"/>
    <x v="137"/>
    <s v="CUST1067"/>
    <s v="Customer 1067"/>
    <s v="Smartphone"/>
    <x v="0"/>
    <n v="4"/>
    <n v="22000"/>
    <n v="0.05"/>
    <x v="169"/>
    <n v="74422.490000000005"/>
    <n v="9177.51"/>
    <s v="Pune"/>
    <x v="0"/>
    <x v="0"/>
    <x v="1"/>
    <x v="0"/>
  </r>
  <r>
    <s v="ORD0349"/>
    <x v="63"/>
    <s v="CUST1035"/>
    <s v="Customer 1035"/>
    <s v="Gaming Mouse"/>
    <x v="0"/>
    <n v="3"/>
    <n v="1600"/>
    <n v="0.05"/>
    <x v="170"/>
    <n v="3981.05"/>
    <n v="578.95000000000005"/>
    <s v="Mumbai"/>
    <x v="0"/>
    <x v="2"/>
    <x v="2"/>
    <x v="0"/>
  </r>
  <r>
    <s v="ORD0350"/>
    <x v="54"/>
    <s v="CUST1105"/>
    <s v="Customer 1105"/>
    <s v="Smartwatch"/>
    <x v="0"/>
    <n v="2"/>
    <n v="4500"/>
    <n v="0.15"/>
    <x v="78"/>
    <n v="6099.93"/>
    <n v="1550.07"/>
    <s v="Delhi"/>
    <x v="3"/>
    <x v="2"/>
    <x v="4"/>
    <x v="0"/>
  </r>
  <r>
    <s v="ORD0351"/>
    <x v="217"/>
    <s v="CUST1041"/>
    <s v="Customer 1041"/>
    <s v="Desk"/>
    <x v="2"/>
    <n v="4"/>
    <n v="6000"/>
    <n v="0.1"/>
    <x v="171"/>
    <n v="20057.93"/>
    <n v="1542.07"/>
    <s v="Chennai"/>
    <x v="1"/>
    <x v="0"/>
    <x v="0"/>
    <x v="0"/>
  </r>
  <r>
    <s v="ORD0352"/>
    <x v="152"/>
    <s v="CUST1248"/>
    <s v="Customer 1248"/>
    <s v="T-Shirt"/>
    <x v="3"/>
    <n v="3"/>
    <n v="800"/>
    <n v="0.05"/>
    <x v="172"/>
    <n v="1756.37"/>
    <n v="523.63"/>
    <s v="Mumbai"/>
    <x v="0"/>
    <x v="0"/>
    <x v="2"/>
    <x v="2"/>
  </r>
  <r>
    <s v="ORD0353"/>
    <x v="223"/>
    <s v="CUST1219"/>
    <s v="Customer 1219"/>
    <s v="Desk"/>
    <x v="2"/>
    <n v="3"/>
    <n v="6000"/>
    <n v="0.05"/>
    <x v="83"/>
    <n v="13572.11"/>
    <n v="3527.89"/>
    <s v="Kolkata"/>
    <x v="5"/>
    <x v="1"/>
    <x v="0"/>
    <x v="0"/>
  </r>
  <r>
    <s v="ORD0354"/>
    <x v="178"/>
    <s v="CUST1004"/>
    <s v="Customer 1004"/>
    <s v="Smartwatch"/>
    <x v="0"/>
    <n v="4"/>
    <n v="4500"/>
    <n v="0"/>
    <x v="103"/>
    <n v="11955.31"/>
    <n v="6044.69"/>
    <s v="Chennai"/>
    <x v="1"/>
    <x v="1"/>
    <x v="4"/>
    <x v="0"/>
  </r>
  <r>
    <s v="ORD0355"/>
    <x v="12"/>
    <s v="CUST1235"/>
    <s v="Customer 1235"/>
    <s v="Book"/>
    <x v="4"/>
    <n v="3"/>
    <n v="450"/>
    <n v="0"/>
    <x v="153"/>
    <n v="1129.8599999999999"/>
    <n v="220.14"/>
    <s v="Pune"/>
    <x v="0"/>
    <x v="1"/>
    <x v="2"/>
    <x v="0"/>
  </r>
  <r>
    <s v="ORD0356"/>
    <x v="191"/>
    <s v="CUST1011"/>
    <s v="Customer 1011"/>
    <s v="Gaming Mouse"/>
    <x v="0"/>
    <n v="2"/>
    <n v="1600"/>
    <n v="0"/>
    <x v="158"/>
    <n v="2773.52"/>
    <n v="426.48"/>
    <s v="Chennai"/>
    <x v="1"/>
    <x v="2"/>
    <x v="4"/>
    <x v="1"/>
  </r>
  <r>
    <s v="ORD0357"/>
    <x v="223"/>
    <s v="CUST1175"/>
    <s v="Customer 1175"/>
    <s v="Study Table Lamp"/>
    <x v="1"/>
    <n v="4"/>
    <n v="1200"/>
    <n v="0.15"/>
    <x v="91"/>
    <n v="3591.04"/>
    <n v="488.96"/>
    <s v="Kolkata"/>
    <x v="5"/>
    <x v="1"/>
    <x v="4"/>
    <x v="0"/>
  </r>
  <r>
    <s v="ORD0358"/>
    <x v="220"/>
    <s v="CUST1158"/>
    <s v="Customer 1158"/>
    <s v="Office Chair"/>
    <x v="2"/>
    <n v="3"/>
    <n v="7500"/>
    <n v="0.15"/>
    <x v="173"/>
    <n v="17829.240000000002"/>
    <n v="1295.76"/>
    <s v="Bengaluru"/>
    <x v="4"/>
    <x v="2"/>
    <x v="1"/>
    <x v="0"/>
  </r>
  <r>
    <s v="ORD0359"/>
    <x v="107"/>
    <s v="CUST1072"/>
    <s v="Customer 1072"/>
    <s v="Study Table Lamp"/>
    <x v="1"/>
    <n v="5"/>
    <n v="1200"/>
    <n v="0.15"/>
    <x v="49"/>
    <n v="4428.5600000000004"/>
    <n v="671.44"/>
    <s v="Chennai"/>
    <x v="1"/>
    <x v="2"/>
    <x v="4"/>
    <x v="2"/>
  </r>
  <r>
    <s v="ORD0360"/>
    <x v="92"/>
    <s v="CUST1123"/>
    <s v="Customer 1123"/>
    <s v="Jeans"/>
    <x v="3"/>
    <n v="5"/>
    <n v="1800"/>
    <n v="0"/>
    <x v="72"/>
    <n v="6977.15"/>
    <n v="2022.85"/>
    <s v="Delhi"/>
    <x v="3"/>
    <x v="1"/>
    <x v="1"/>
    <x v="1"/>
  </r>
  <r>
    <s v="ORD0361"/>
    <x v="188"/>
    <s v="CUST1082"/>
    <s v="Customer 1082"/>
    <s v="Coffee Maker"/>
    <x v="1"/>
    <n v="4"/>
    <n v="3500"/>
    <n v="0.1"/>
    <x v="55"/>
    <n v="11022.71"/>
    <n v="1577.29"/>
    <s v="Bengaluru"/>
    <x v="4"/>
    <x v="1"/>
    <x v="1"/>
    <x v="0"/>
  </r>
  <r>
    <s v="ORD0362"/>
    <x v="224"/>
    <s v="CUST1250"/>
    <s v="Customer 1250"/>
    <s v="Keyboard"/>
    <x v="0"/>
    <n v="5"/>
    <n v="2200"/>
    <n v="0.1"/>
    <x v="174"/>
    <n v="7553.85"/>
    <n v="2346.15"/>
    <s v="Mumbai"/>
    <x v="0"/>
    <x v="1"/>
    <x v="4"/>
    <x v="0"/>
  </r>
  <r>
    <s v="ORD0363"/>
    <x v="225"/>
    <s v="CUST1240"/>
    <s v="Customer 1240"/>
    <s v="Smartphone"/>
    <x v="0"/>
    <n v="2"/>
    <n v="22000"/>
    <n v="0.2"/>
    <x v="175"/>
    <n v="37092.93"/>
    <n v="-1892.93"/>
    <s v="Delhi"/>
    <x v="3"/>
    <x v="1"/>
    <x v="4"/>
    <x v="0"/>
  </r>
  <r>
    <s v="ORD0364"/>
    <x v="114"/>
    <s v="CUST1243"/>
    <s v="Customer 1243"/>
    <s v="Coffee Maker"/>
    <x v="1"/>
    <n v="3"/>
    <n v="3500"/>
    <n v="0.2"/>
    <x v="119"/>
    <n v="8195.8799999999992"/>
    <n v="204.12"/>
    <s v="Delhi"/>
    <x v="3"/>
    <x v="1"/>
    <x v="0"/>
    <x v="0"/>
  </r>
  <r>
    <s v="ORD0365"/>
    <x v="97"/>
    <s v="CUST1010"/>
    <s v="Customer 1010"/>
    <s v="Keyboard"/>
    <x v="0"/>
    <n v="5"/>
    <n v="2200"/>
    <n v="0.1"/>
    <x v="174"/>
    <n v="7378.35"/>
    <n v="2521.65"/>
    <s v="Mysuru"/>
    <x v="4"/>
    <x v="1"/>
    <x v="0"/>
    <x v="0"/>
  </r>
  <r>
    <s v="ORD0366"/>
    <x v="46"/>
    <s v="CUST1235"/>
    <s v="Customer 1235"/>
    <s v="Laptop"/>
    <x v="0"/>
    <n v="5"/>
    <n v="55000"/>
    <n v="0.15"/>
    <x v="52"/>
    <n v="217594.02"/>
    <n v="16155.98"/>
    <s v="Delhi"/>
    <x v="3"/>
    <x v="1"/>
    <x v="1"/>
    <x v="2"/>
  </r>
  <r>
    <s v="ORD0367"/>
    <x v="226"/>
    <s v="CUST1151"/>
    <s v="Customer 1151"/>
    <s v="Shoes"/>
    <x v="3"/>
    <n v="3"/>
    <n v="2800"/>
    <n v="0"/>
    <x v="119"/>
    <n v="6821.47"/>
    <n v="1578.53"/>
    <s v="Hyderabad"/>
    <x v="2"/>
    <x v="2"/>
    <x v="2"/>
    <x v="1"/>
  </r>
  <r>
    <s v="ORD0368"/>
    <x v="7"/>
    <s v="CUST1151"/>
    <s v="Customer 1151"/>
    <s v="Mixer Grinder"/>
    <x v="1"/>
    <n v="1"/>
    <n v="2800"/>
    <n v="0.1"/>
    <x v="104"/>
    <n v="1885.06"/>
    <n v="634.94000000000005"/>
    <s v="Kolkata"/>
    <x v="5"/>
    <x v="0"/>
    <x v="1"/>
    <x v="0"/>
  </r>
  <r>
    <s v="ORD0369"/>
    <x v="135"/>
    <s v="CUST1045"/>
    <s v="Customer 1045"/>
    <s v="Shoes"/>
    <x v="3"/>
    <n v="4"/>
    <n v="2800"/>
    <n v="0.15"/>
    <x v="135"/>
    <n v="9101.7000000000007"/>
    <n v="418.3"/>
    <s v="Delhi"/>
    <x v="3"/>
    <x v="1"/>
    <x v="0"/>
    <x v="0"/>
  </r>
  <r>
    <s v="ORD0370"/>
    <x v="84"/>
    <s v="CUST1188"/>
    <s v="Customer 1188"/>
    <s v="Jeans"/>
    <x v="3"/>
    <n v="5"/>
    <n v="1800"/>
    <n v="0.05"/>
    <x v="8"/>
    <n v="7275.19"/>
    <n v="1274.81"/>
    <s v="Pune"/>
    <x v="0"/>
    <x v="0"/>
    <x v="4"/>
    <x v="2"/>
  </r>
  <r>
    <s v="ORD0371"/>
    <x v="182"/>
    <s v="CUST1047"/>
    <s v="Customer 1047"/>
    <s v="Laptop"/>
    <x v="0"/>
    <n v="5"/>
    <n v="55000"/>
    <n v="0.15"/>
    <x v="52"/>
    <n v="216851.08"/>
    <n v="16898.919999999998"/>
    <s v="Bengaluru"/>
    <x v="4"/>
    <x v="2"/>
    <x v="4"/>
    <x v="2"/>
  </r>
  <r>
    <s v="ORD0372"/>
    <x v="191"/>
    <s v="CUST1061"/>
    <s v="Customer 1061"/>
    <s v="Smartwatch"/>
    <x v="0"/>
    <n v="4"/>
    <n v="4500"/>
    <n v="0.05"/>
    <x v="83"/>
    <n v="13135.79"/>
    <n v="3964.21"/>
    <s v="Chennai"/>
    <x v="1"/>
    <x v="1"/>
    <x v="4"/>
    <x v="2"/>
  </r>
  <r>
    <s v="ORD0373"/>
    <x v="227"/>
    <s v="CUST1054"/>
    <s v="Customer 1054"/>
    <s v="Headphones"/>
    <x v="0"/>
    <n v="3"/>
    <n v="1800"/>
    <n v="0.15"/>
    <x v="114"/>
    <n v="3819.93"/>
    <n v="770.07"/>
    <s v="Pune"/>
    <x v="0"/>
    <x v="1"/>
    <x v="1"/>
    <x v="0"/>
  </r>
  <r>
    <s v="ORD0374"/>
    <x v="228"/>
    <s v="CUST1188"/>
    <s v="Customer 1188"/>
    <s v="Smartwatch"/>
    <x v="0"/>
    <n v="1"/>
    <n v="4500"/>
    <n v="0"/>
    <x v="176"/>
    <n v="3359.34"/>
    <n v="1140.6600000000001"/>
    <s v="Mysuru"/>
    <x v="4"/>
    <x v="0"/>
    <x v="3"/>
    <x v="0"/>
  </r>
  <r>
    <s v="ORD0375"/>
    <x v="128"/>
    <s v="CUST1213"/>
    <s v="Customer 1213"/>
    <s v="Book"/>
    <x v="4"/>
    <n v="3"/>
    <n v="450"/>
    <n v="0.2"/>
    <x v="101"/>
    <n v="1026.3800000000001"/>
    <n v="53.62"/>
    <s v="Chennai"/>
    <x v="1"/>
    <x v="1"/>
    <x v="4"/>
    <x v="0"/>
  </r>
  <r>
    <s v="ORD0376"/>
    <x v="14"/>
    <s v="CUST1082"/>
    <s v="Customer 1082"/>
    <s v="Gaming Mouse"/>
    <x v="0"/>
    <n v="1"/>
    <n v="1600"/>
    <n v="0"/>
    <x v="45"/>
    <n v="1136.0899999999999"/>
    <n v="463.91"/>
    <s v="Bengaluru"/>
    <x v="4"/>
    <x v="0"/>
    <x v="2"/>
    <x v="0"/>
  </r>
  <r>
    <s v="ORD0377"/>
    <x v="63"/>
    <s v="CUST1087"/>
    <s v="Customer 1087"/>
    <s v="Shoes"/>
    <x v="3"/>
    <n v="4"/>
    <n v="2800"/>
    <n v="0.05"/>
    <x v="54"/>
    <n v="8810.2199999999993"/>
    <n v="1829.78"/>
    <s v="Chennai"/>
    <x v="1"/>
    <x v="2"/>
    <x v="3"/>
    <x v="2"/>
  </r>
  <r>
    <s v="ORD0378"/>
    <x v="95"/>
    <s v="CUST1041"/>
    <s v="Customer 1041"/>
    <s v="Laptop"/>
    <x v="0"/>
    <n v="4"/>
    <n v="55000"/>
    <n v="0.05"/>
    <x v="177"/>
    <n v="145709.92000000001"/>
    <n v="63290.080000000002"/>
    <s v="Kolkata"/>
    <x v="5"/>
    <x v="1"/>
    <x v="4"/>
    <x v="0"/>
  </r>
  <r>
    <s v="ORD0379"/>
    <x v="74"/>
    <s v="CUST1077"/>
    <s v="Customer 1077"/>
    <s v="Study Table Lamp"/>
    <x v="1"/>
    <n v="5"/>
    <n v="1200"/>
    <n v="0.2"/>
    <x v="19"/>
    <n v="4227.82"/>
    <n v="572.17999999999995"/>
    <s v="Pune"/>
    <x v="0"/>
    <x v="0"/>
    <x v="3"/>
    <x v="1"/>
  </r>
  <r>
    <s v="ORD0380"/>
    <x v="190"/>
    <s v="CUST1110"/>
    <s v="Customer 1110"/>
    <s v="Keyboard"/>
    <x v="0"/>
    <n v="2"/>
    <n v="2200"/>
    <n v="0"/>
    <x v="178"/>
    <n v="2948.68"/>
    <n v="1451.32"/>
    <s v="Bengaluru"/>
    <x v="4"/>
    <x v="1"/>
    <x v="0"/>
    <x v="0"/>
  </r>
  <r>
    <s v="ORD0381"/>
    <x v="212"/>
    <s v="CUST1164"/>
    <s v="Customer 1164"/>
    <s v="T-Shirt"/>
    <x v="3"/>
    <n v="1"/>
    <n v="800"/>
    <n v="0"/>
    <x v="179"/>
    <n v="573.69000000000005"/>
    <n v="226.31"/>
    <s v="Hyderabad"/>
    <x v="2"/>
    <x v="2"/>
    <x v="3"/>
    <x v="0"/>
  </r>
  <r>
    <s v="ORD0382"/>
    <x v="102"/>
    <s v="CUST1024"/>
    <s v="Customer 1024"/>
    <s v="Desk"/>
    <x v="2"/>
    <n v="4"/>
    <n v="6000"/>
    <n v="0.15"/>
    <x v="180"/>
    <n v="19143.099999999999"/>
    <n v="1256.9000000000001"/>
    <s v="Pune"/>
    <x v="0"/>
    <x v="2"/>
    <x v="4"/>
    <x v="0"/>
  </r>
  <r>
    <s v="ORD0383"/>
    <x v="229"/>
    <s v="CUST1068"/>
    <s v="Customer 1068"/>
    <s v="Book"/>
    <x v="4"/>
    <n v="3"/>
    <n v="450"/>
    <n v="0.05"/>
    <x v="93"/>
    <n v="1014.04"/>
    <n v="268.45999999999998"/>
    <s v="Bengaluru"/>
    <x v="4"/>
    <x v="0"/>
    <x v="4"/>
    <x v="0"/>
  </r>
  <r>
    <s v="ORD0384"/>
    <x v="230"/>
    <s v="CUST1207"/>
    <s v="Customer 1207"/>
    <s v="Smartphone"/>
    <x v="0"/>
    <n v="2"/>
    <n v="22000"/>
    <n v="0"/>
    <x v="181"/>
    <n v="34079.46"/>
    <n v="9920.5400000000009"/>
    <s v="Delhi"/>
    <x v="3"/>
    <x v="2"/>
    <x v="4"/>
    <x v="1"/>
  </r>
  <r>
    <s v="ORD0385"/>
    <x v="133"/>
    <s v="CUST1147"/>
    <s v="Customer 1147"/>
    <s v="Smartphone"/>
    <x v="0"/>
    <n v="4"/>
    <n v="22000"/>
    <n v="0.2"/>
    <x v="182"/>
    <n v="75044.67"/>
    <n v="-4644.67"/>
    <s v="Mysuru"/>
    <x v="4"/>
    <x v="2"/>
    <x v="1"/>
    <x v="0"/>
  </r>
  <r>
    <s v="ORD0386"/>
    <x v="231"/>
    <s v="CUST1031"/>
    <s v="Customer 1031"/>
    <s v="Book"/>
    <x v="4"/>
    <n v="1"/>
    <n v="450"/>
    <n v="0.2"/>
    <x v="132"/>
    <n v="390.75"/>
    <n v="-30.75"/>
    <s v="Hyderabad"/>
    <x v="2"/>
    <x v="2"/>
    <x v="4"/>
    <x v="0"/>
  </r>
  <r>
    <s v="ORD0387"/>
    <x v="232"/>
    <s v="CUST1021"/>
    <s v="Customer 1021"/>
    <s v="T-Shirt"/>
    <x v="3"/>
    <n v="2"/>
    <n v="800"/>
    <n v="0.05"/>
    <x v="70"/>
    <n v="1403.69"/>
    <n v="116.31"/>
    <s v="Kolkata"/>
    <x v="5"/>
    <x v="2"/>
    <x v="4"/>
    <x v="2"/>
  </r>
  <r>
    <s v="ORD0388"/>
    <x v="173"/>
    <s v="CUST1023"/>
    <s v="Customer 1023"/>
    <s v="Backpack"/>
    <x v="5"/>
    <n v="5"/>
    <n v="1400"/>
    <n v="0.1"/>
    <x v="183"/>
    <n v="5174.84"/>
    <n v="1125.1600000000001"/>
    <s v="Chennai"/>
    <x v="1"/>
    <x v="1"/>
    <x v="0"/>
    <x v="0"/>
  </r>
  <r>
    <s v="ORD0389"/>
    <x v="233"/>
    <s v="CUST1029"/>
    <s v="Customer 1029"/>
    <s v="Office Chair"/>
    <x v="1"/>
    <n v="5"/>
    <n v="7500"/>
    <n v="0.15"/>
    <x v="11"/>
    <n v="27949.57"/>
    <n v="3925.43"/>
    <s v="Kolkata"/>
    <x v="5"/>
    <x v="2"/>
    <x v="0"/>
    <x v="1"/>
  </r>
  <r>
    <s v="ORD0390"/>
    <x v="211"/>
    <s v="CUST1223"/>
    <s v="Customer 1223"/>
    <s v="Smartwatch"/>
    <x v="0"/>
    <n v="1"/>
    <n v="4500"/>
    <n v="0.2"/>
    <x v="25"/>
    <n v="3479.38"/>
    <n v="120.62"/>
    <s v="Pune"/>
    <x v="0"/>
    <x v="2"/>
    <x v="3"/>
    <x v="0"/>
  </r>
  <r>
    <s v="ORD0391"/>
    <x v="145"/>
    <s v="CUST1010"/>
    <s v="Customer 1010"/>
    <s v="Book"/>
    <x v="4"/>
    <n v="4"/>
    <n v="450"/>
    <n v="0.2"/>
    <x v="95"/>
    <n v="1241.29"/>
    <n v="198.71"/>
    <s v="Mysuru"/>
    <x v="4"/>
    <x v="2"/>
    <x v="4"/>
    <x v="1"/>
  </r>
  <r>
    <s v="ORD0392"/>
    <x v="191"/>
    <s v="CUST1013"/>
    <s v="Customer 1013"/>
    <s v="Book"/>
    <x v="4"/>
    <n v="1"/>
    <n v="450"/>
    <n v="0.15"/>
    <x v="184"/>
    <n v="369.69"/>
    <n v="12.81"/>
    <s v="Mumbai"/>
    <x v="0"/>
    <x v="1"/>
    <x v="1"/>
    <x v="0"/>
  </r>
  <r>
    <s v="ORD0393"/>
    <x v="234"/>
    <s v="CUST1220"/>
    <s v="Customer 1220"/>
    <s v="Coffee Maker"/>
    <x v="1"/>
    <n v="3"/>
    <n v="3500"/>
    <n v="0.1"/>
    <x v="74"/>
    <n v="8506.2800000000007"/>
    <n v="943.72"/>
    <s v="Mysuru"/>
    <x v="4"/>
    <x v="1"/>
    <x v="4"/>
    <x v="0"/>
  </r>
  <r>
    <s v="ORD0394"/>
    <x v="203"/>
    <s v="CUST1155"/>
    <s v="Customer 1155"/>
    <s v="Desk"/>
    <x v="2"/>
    <n v="4"/>
    <n v="6000"/>
    <n v="0.1"/>
    <x v="171"/>
    <n v="19163.46"/>
    <n v="2436.54"/>
    <s v="Kolkata"/>
    <x v="5"/>
    <x v="1"/>
    <x v="3"/>
    <x v="0"/>
  </r>
  <r>
    <s v="ORD0395"/>
    <x v="235"/>
    <s v="CUST1132"/>
    <s v="Customer 1132"/>
    <s v="Study Table Lamp"/>
    <x v="1"/>
    <n v="4"/>
    <n v="1200"/>
    <n v="0.2"/>
    <x v="98"/>
    <n v="3993.81"/>
    <n v="-153.81"/>
    <s v="Bengaluru"/>
    <x v="4"/>
    <x v="1"/>
    <x v="1"/>
    <x v="2"/>
  </r>
  <r>
    <s v="ORD0396"/>
    <x v="213"/>
    <s v="CUST1045"/>
    <s v="Customer 1045"/>
    <s v="Book"/>
    <x v="4"/>
    <n v="2"/>
    <n v="450"/>
    <n v="0.2"/>
    <x v="137"/>
    <n v="624.9"/>
    <n v="95.1"/>
    <s v="Bengaluru"/>
    <x v="4"/>
    <x v="2"/>
    <x v="2"/>
    <x v="0"/>
  </r>
  <r>
    <s v="ORD0397"/>
    <x v="190"/>
    <s v="CUST1071"/>
    <s v="Customer 1071"/>
    <s v="Smartphone"/>
    <x v="0"/>
    <n v="4"/>
    <n v="22000"/>
    <n v="0"/>
    <x v="185"/>
    <n v="64655.44"/>
    <n v="23344.560000000001"/>
    <s v="Mumbai"/>
    <x v="0"/>
    <x v="2"/>
    <x v="0"/>
    <x v="0"/>
  </r>
  <r>
    <s v="ORD0398"/>
    <x v="236"/>
    <s v="CUST1153"/>
    <s v="Customer 1153"/>
    <s v="Smartwatch"/>
    <x v="0"/>
    <n v="1"/>
    <n v="4500"/>
    <n v="0.05"/>
    <x v="186"/>
    <n v="3386.72"/>
    <n v="888.28"/>
    <s v="Mysuru"/>
    <x v="4"/>
    <x v="1"/>
    <x v="0"/>
    <x v="1"/>
  </r>
  <r>
    <s v="ORD0399"/>
    <x v="218"/>
    <s v="CUST1073"/>
    <s v="Customer 1073"/>
    <s v="Mixer Grinder"/>
    <x v="1"/>
    <n v="3"/>
    <n v="2800"/>
    <n v="0.05"/>
    <x v="126"/>
    <n v="5513.03"/>
    <n v="2466.9699999999998"/>
    <s v="Chennai"/>
    <x v="1"/>
    <x v="0"/>
    <x v="4"/>
    <x v="1"/>
  </r>
  <r>
    <s v="ORD0400"/>
    <x v="207"/>
    <s v="CUST1069"/>
    <s v="Customer 1069"/>
    <s v="T-Shirt"/>
    <x v="3"/>
    <n v="2"/>
    <n v="800"/>
    <n v="0.05"/>
    <x v="70"/>
    <n v="1279.78"/>
    <n v="240.22"/>
    <s v="Mumbai"/>
    <x v="0"/>
    <x v="1"/>
    <x v="2"/>
    <x v="2"/>
  </r>
  <r>
    <s v="ORD0401"/>
    <x v="237"/>
    <s v="CUST1154"/>
    <s v="Customer 1154"/>
    <s v="Laptop"/>
    <x v="0"/>
    <n v="4"/>
    <n v="55000"/>
    <n v="0.05"/>
    <x v="177"/>
    <n v="183523.76"/>
    <n v="25476.240000000002"/>
    <s v="Hyderabad"/>
    <x v="2"/>
    <x v="2"/>
    <x v="1"/>
    <x v="1"/>
  </r>
  <r>
    <s v="ORD0402"/>
    <x v="128"/>
    <s v="CUST1118"/>
    <s v="Customer 1118"/>
    <s v="Desk"/>
    <x v="2"/>
    <n v="3"/>
    <n v="6000"/>
    <n v="0.15"/>
    <x v="90"/>
    <n v="12743.27"/>
    <n v="2556.73"/>
    <s v="Delhi"/>
    <x v="3"/>
    <x v="0"/>
    <x v="1"/>
    <x v="2"/>
  </r>
  <r>
    <s v="ORD0403"/>
    <x v="118"/>
    <s v="CUST1144"/>
    <s v="Customer 1144"/>
    <s v="Book"/>
    <x v="4"/>
    <n v="5"/>
    <n v="450"/>
    <n v="0"/>
    <x v="121"/>
    <n v="1797.5"/>
    <n v="452.5"/>
    <s v="Delhi"/>
    <x v="3"/>
    <x v="2"/>
    <x v="1"/>
    <x v="0"/>
  </r>
  <r>
    <s v="ORD0404"/>
    <x v="2"/>
    <s v="CUST1164"/>
    <s v="Customer 1164"/>
    <s v="Smartwatch"/>
    <x v="0"/>
    <n v="4"/>
    <n v="4500"/>
    <n v="0"/>
    <x v="103"/>
    <n v="13046.07"/>
    <n v="4953.93"/>
    <s v="Pune"/>
    <x v="0"/>
    <x v="0"/>
    <x v="1"/>
    <x v="2"/>
  </r>
  <r>
    <s v="ORD0405"/>
    <x v="67"/>
    <s v="CUST1231"/>
    <s v="Customer 1231"/>
    <s v="Desk"/>
    <x v="2"/>
    <n v="2"/>
    <n v="6000"/>
    <n v="0.05"/>
    <x v="187"/>
    <n v="7956.7"/>
    <n v="3443.3"/>
    <s v="Mumbai"/>
    <x v="0"/>
    <x v="2"/>
    <x v="3"/>
    <x v="2"/>
  </r>
  <r>
    <s v="ORD0406"/>
    <x v="177"/>
    <s v="CUST1076"/>
    <s v="Customer 1076"/>
    <s v="Coffee Maker"/>
    <x v="1"/>
    <n v="2"/>
    <n v="3500"/>
    <n v="0"/>
    <x v="108"/>
    <n v="4967.68"/>
    <n v="2032.32"/>
    <s v="Mysuru"/>
    <x v="4"/>
    <x v="0"/>
    <x v="3"/>
    <x v="0"/>
  </r>
  <r>
    <s v="ORD0407"/>
    <x v="175"/>
    <s v="CUST1186"/>
    <s v="Customer 1186"/>
    <s v="Smartphone"/>
    <x v="0"/>
    <n v="5"/>
    <n v="22000"/>
    <n v="0.2"/>
    <x v="185"/>
    <n v="89548.24"/>
    <n v="-1548.24"/>
    <s v="Delhi"/>
    <x v="3"/>
    <x v="0"/>
    <x v="0"/>
    <x v="2"/>
  </r>
  <r>
    <s v="ORD0408"/>
    <x v="174"/>
    <s v="CUST1216"/>
    <s v="Customer 1216"/>
    <s v="Keyboard"/>
    <x v="0"/>
    <n v="3"/>
    <n v="2200"/>
    <n v="0.2"/>
    <x v="163"/>
    <n v="5288.26"/>
    <n v="-8.26"/>
    <s v="Hyderabad"/>
    <x v="2"/>
    <x v="2"/>
    <x v="4"/>
    <x v="0"/>
  </r>
  <r>
    <s v="ORD0409"/>
    <x v="218"/>
    <s v="CUST1243"/>
    <s v="Customer 1243"/>
    <s v="Smartwatch"/>
    <x v="0"/>
    <n v="4"/>
    <n v="4500"/>
    <n v="0.05"/>
    <x v="83"/>
    <n v="14514.01"/>
    <n v="2585.9899999999998"/>
    <s v="Hyderabad"/>
    <x v="2"/>
    <x v="2"/>
    <x v="2"/>
    <x v="0"/>
  </r>
  <r>
    <s v="ORD0410"/>
    <x v="59"/>
    <s v="CUST1096"/>
    <s v="Customer 1096"/>
    <s v="Mixer Grinder"/>
    <x v="1"/>
    <n v="2"/>
    <n v="2800"/>
    <n v="0.1"/>
    <x v="124"/>
    <n v="3975.6"/>
    <n v="1064.4000000000001"/>
    <s v="Delhi"/>
    <x v="3"/>
    <x v="0"/>
    <x v="3"/>
    <x v="0"/>
  </r>
  <r>
    <s v="ORD0411"/>
    <x v="41"/>
    <s v="CUST1121"/>
    <s v="Customer 1121"/>
    <s v="Keyboard"/>
    <x v="0"/>
    <n v="1"/>
    <n v="2200"/>
    <n v="0.2"/>
    <x v="188"/>
    <n v="1880.05"/>
    <n v="-120.05"/>
    <s v="Chennai"/>
    <x v="1"/>
    <x v="1"/>
    <x v="2"/>
    <x v="2"/>
  </r>
  <r>
    <s v="ORD0412"/>
    <x v="163"/>
    <s v="CUST1223"/>
    <s v="Customer 1223"/>
    <s v="Book"/>
    <x v="4"/>
    <n v="5"/>
    <n v="450"/>
    <n v="0.1"/>
    <x v="140"/>
    <n v="1904.57"/>
    <n v="120.43"/>
    <s v="Bengaluru"/>
    <x v="4"/>
    <x v="1"/>
    <x v="4"/>
    <x v="0"/>
  </r>
  <r>
    <s v="ORD0413"/>
    <x v="238"/>
    <s v="CUST1221"/>
    <s v="Customer 1221"/>
    <s v="Study Table Lamp"/>
    <x v="1"/>
    <n v="5"/>
    <n v="1200"/>
    <n v="0.15"/>
    <x v="49"/>
    <n v="4887.62"/>
    <n v="212.38"/>
    <s v="Delhi"/>
    <x v="3"/>
    <x v="1"/>
    <x v="3"/>
    <x v="0"/>
  </r>
  <r>
    <s v="ORD0414"/>
    <x v="185"/>
    <s v="CUST1071"/>
    <s v="Customer 1071"/>
    <s v="Shoes"/>
    <x v="3"/>
    <n v="3"/>
    <n v="2800"/>
    <n v="0"/>
    <x v="119"/>
    <n v="5864.53"/>
    <n v="2535.4699999999998"/>
    <s v="Mysuru"/>
    <x v="4"/>
    <x v="2"/>
    <x v="0"/>
    <x v="0"/>
  </r>
  <r>
    <s v="ORD0415"/>
    <x v="239"/>
    <s v="CUST1163"/>
    <s v="Customer 1163"/>
    <s v="Keyboard"/>
    <x v="0"/>
    <n v="1"/>
    <n v="2200"/>
    <n v="0.05"/>
    <x v="189"/>
    <n v="1647.28"/>
    <n v="442.72"/>
    <s v="Kolkata"/>
    <x v="5"/>
    <x v="2"/>
    <x v="3"/>
    <x v="0"/>
  </r>
  <r>
    <s v="ORD0416"/>
    <x v="240"/>
    <s v="CUST1244"/>
    <s v="Customer 1244"/>
    <s v="Laptop"/>
    <x v="0"/>
    <n v="1"/>
    <n v="55000"/>
    <n v="0.2"/>
    <x v="181"/>
    <n v="35928.080000000002"/>
    <n v="8071.92"/>
    <s v="Delhi"/>
    <x v="3"/>
    <x v="2"/>
    <x v="0"/>
    <x v="0"/>
  </r>
  <r>
    <s v="ORD0417"/>
    <x v="202"/>
    <s v="CUST1080"/>
    <s v="Customer 1080"/>
    <s v="Laptop"/>
    <x v="0"/>
    <n v="1"/>
    <n v="55000"/>
    <n v="0.05"/>
    <x v="190"/>
    <n v="37380.97"/>
    <n v="14869.03"/>
    <s v="Delhi"/>
    <x v="3"/>
    <x v="0"/>
    <x v="0"/>
    <x v="1"/>
  </r>
  <r>
    <s v="ORD0418"/>
    <x v="48"/>
    <s v="CUST1243"/>
    <s v="Customer 1243"/>
    <s v="Desk"/>
    <x v="2"/>
    <n v="2"/>
    <n v="6000"/>
    <n v="0"/>
    <x v="16"/>
    <n v="8602.68"/>
    <n v="3397.32"/>
    <s v="Pune"/>
    <x v="0"/>
    <x v="1"/>
    <x v="0"/>
    <x v="1"/>
  </r>
  <r>
    <s v="ORD0419"/>
    <x v="194"/>
    <s v="CUST1092"/>
    <s v="Customer 1092"/>
    <s v="Coffee Maker"/>
    <x v="1"/>
    <n v="4"/>
    <n v="3500"/>
    <n v="0.05"/>
    <x v="6"/>
    <n v="11515.37"/>
    <n v="1784.63"/>
    <s v="Mysuru"/>
    <x v="4"/>
    <x v="1"/>
    <x v="3"/>
    <x v="0"/>
  </r>
  <r>
    <s v="ORD0420"/>
    <x v="209"/>
    <s v="CUST1151"/>
    <s v="Customer 1151"/>
    <s v="Jeans"/>
    <x v="3"/>
    <n v="2"/>
    <n v="1800"/>
    <n v="0.05"/>
    <x v="51"/>
    <n v="2757.84"/>
    <n v="662.16"/>
    <s v="Bengaluru"/>
    <x v="4"/>
    <x v="0"/>
    <x v="1"/>
    <x v="2"/>
  </r>
  <r>
    <s v="ORD0421"/>
    <x v="9"/>
    <s v="CUST1153"/>
    <s v="Customer 1153"/>
    <s v="Smartphone"/>
    <x v="0"/>
    <n v="4"/>
    <n v="22000"/>
    <n v="0.1"/>
    <x v="115"/>
    <n v="77332.33"/>
    <n v="1867.67"/>
    <s v="Bengaluru"/>
    <x v="4"/>
    <x v="2"/>
    <x v="2"/>
    <x v="2"/>
  </r>
  <r>
    <s v="ORD0422"/>
    <x v="150"/>
    <s v="CUST1098"/>
    <s v="Customer 1098"/>
    <s v="Laptop"/>
    <x v="0"/>
    <n v="1"/>
    <n v="55000"/>
    <n v="0"/>
    <x v="191"/>
    <n v="37313.480000000003"/>
    <n v="17686.52"/>
    <s v="Mysuru"/>
    <x v="4"/>
    <x v="0"/>
    <x v="3"/>
    <x v="2"/>
  </r>
  <r>
    <s v="ORD0423"/>
    <x v="241"/>
    <s v="CUST1170"/>
    <s v="Customer 1170"/>
    <s v="Backpack"/>
    <x v="5"/>
    <n v="2"/>
    <n v="1400"/>
    <n v="0"/>
    <x v="109"/>
    <n v="1885.03"/>
    <n v="914.97"/>
    <s v="Kolkata"/>
    <x v="5"/>
    <x v="1"/>
    <x v="1"/>
    <x v="1"/>
  </r>
  <r>
    <s v="ORD0424"/>
    <x v="42"/>
    <s v="CUST1073"/>
    <s v="Customer 1073"/>
    <s v="Backpack"/>
    <x v="5"/>
    <n v="4"/>
    <n v="1400"/>
    <n v="0"/>
    <x v="56"/>
    <n v="3786.85"/>
    <n v="1813.15"/>
    <s v="Chennai"/>
    <x v="1"/>
    <x v="1"/>
    <x v="3"/>
    <x v="0"/>
  </r>
  <r>
    <s v="ORD0425"/>
    <x v="242"/>
    <s v="CUST1181"/>
    <s v="Customer 1181"/>
    <s v="T-Shirt"/>
    <x v="3"/>
    <n v="3"/>
    <n v="800"/>
    <n v="0.2"/>
    <x v="76"/>
    <n v="1786.19"/>
    <n v="133.81"/>
    <s v="Delhi"/>
    <x v="3"/>
    <x v="1"/>
    <x v="2"/>
    <x v="1"/>
  </r>
  <r>
    <s v="ORD0426"/>
    <x v="191"/>
    <s v="CUST1001"/>
    <s v="Customer 1001"/>
    <s v="Keyboard"/>
    <x v="0"/>
    <n v="2"/>
    <n v="2200"/>
    <n v="0.15"/>
    <x v="18"/>
    <n v="2872.9"/>
    <n v="867.1"/>
    <s v="Mumbai"/>
    <x v="0"/>
    <x v="2"/>
    <x v="2"/>
    <x v="1"/>
  </r>
  <r>
    <s v="ORD0427"/>
    <x v="42"/>
    <s v="CUST1186"/>
    <s v="Customer 1186"/>
    <s v="Keyboard"/>
    <x v="0"/>
    <n v="2"/>
    <n v="2200"/>
    <n v="0"/>
    <x v="178"/>
    <n v="3592.26"/>
    <n v="807.74"/>
    <s v="Chennai"/>
    <x v="1"/>
    <x v="1"/>
    <x v="4"/>
    <x v="0"/>
  </r>
  <r>
    <s v="ORD0428"/>
    <x v="25"/>
    <s v="CUST1209"/>
    <s v="Customer 1209"/>
    <s v="Desk"/>
    <x v="2"/>
    <n v="3"/>
    <n v="6000"/>
    <n v="0.15"/>
    <x v="90"/>
    <n v="12423.27"/>
    <n v="2876.73"/>
    <s v="Chennai"/>
    <x v="1"/>
    <x v="0"/>
    <x v="1"/>
    <x v="0"/>
  </r>
  <r>
    <s v="ORD0429"/>
    <x v="127"/>
    <s v="CUST1003"/>
    <s v="Customer 1003"/>
    <s v="Coffee Maker"/>
    <x v="1"/>
    <n v="4"/>
    <n v="3500"/>
    <n v="0"/>
    <x v="14"/>
    <n v="11843.44"/>
    <n v="2156.56"/>
    <s v="Bengaluru"/>
    <x v="4"/>
    <x v="1"/>
    <x v="4"/>
    <x v="0"/>
  </r>
  <r>
    <s v="ORD0430"/>
    <x v="203"/>
    <s v="CUST1096"/>
    <s v="Customer 1096"/>
    <s v="Mixer Grinder"/>
    <x v="1"/>
    <n v="4"/>
    <n v="2800"/>
    <n v="0.2"/>
    <x v="63"/>
    <n v="9379.35"/>
    <n v="-419.35"/>
    <s v="Chennai"/>
    <x v="1"/>
    <x v="1"/>
    <x v="2"/>
    <x v="0"/>
  </r>
  <r>
    <s v="ORD0431"/>
    <x v="228"/>
    <s v="CUST1205"/>
    <s v="Customer 1205"/>
    <s v="Book"/>
    <x v="4"/>
    <n v="4"/>
    <n v="450"/>
    <n v="0.1"/>
    <x v="17"/>
    <n v="1344.6"/>
    <n v="275.39999999999998"/>
    <s v="Mysuru"/>
    <x v="4"/>
    <x v="2"/>
    <x v="2"/>
    <x v="0"/>
  </r>
  <r>
    <s v="ORD0432"/>
    <x v="150"/>
    <s v="CUST1206"/>
    <s v="Customer 1206"/>
    <s v="Smartphone"/>
    <x v="0"/>
    <n v="2"/>
    <n v="22000"/>
    <n v="0"/>
    <x v="181"/>
    <n v="34357.71"/>
    <n v="9642.2900000000009"/>
    <s v="Mysuru"/>
    <x v="4"/>
    <x v="1"/>
    <x v="4"/>
    <x v="1"/>
  </r>
  <r>
    <s v="ORD0433"/>
    <x v="114"/>
    <s v="CUST1124"/>
    <s v="Customer 1124"/>
    <s v="Book"/>
    <x v="4"/>
    <n v="3"/>
    <n v="450"/>
    <n v="0.2"/>
    <x v="101"/>
    <n v="1163.28"/>
    <n v="-83.28"/>
    <s v="Hyderabad"/>
    <x v="2"/>
    <x v="0"/>
    <x v="3"/>
    <x v="0"/>
  </r>
  <r>
    <s v="ORD0434"/>
    <x v="177"/>
    <s v="CUST1004"/>
    <s v="Customer 1004"/>
    <s v="Smartphone"/>
    <x v="0"/>
    <n v="1"/>
    <n v="22000"/>
    <n v="0.1"/>
    <x v="192"/>
    <n v="17865.11"/>
    <n v="1934.89"/>
    <s v="Delhi"/>
    <x v="3"/>
    <x v="1"/>
    <x v="0"/>
    <x v="2"/>
  </r>
  <r>
    <s v="ORD0435"/>
    <x v="243"/>
    <s v="CUST1111"/>
    <s v="Customer 1111"/>
    <s v="Jeans"/>
    <x v="3"/>
    <n v="3"/>
    <n v="1800"/>
    <n v="0.2"/>
    <x v="37"/>
    <n v="4331.8500000000004"/>
    <n v="-11.85"/>
    <s v="Chennai"/>
    <x v="1"/>
    <x v="1"/>
    <x v="3"/>
    <x v="0"/>
  </r>
  <r>
    <s v="ORD0436"/>
    <x v="244"/>
    <s v="CUST1003"/>
    <s v="Customer 1003"/>
    <s v="Book"/>
    <x v="4"/>
    <n v="2"/>
    <n v="450"/>
    <n v="0.2"/>
    <x v="137"/>
    <n v="718.18"/>
    <n v="1.82"/>
    <s v="Bengaluru"/>
    <x v="4"/>
    <x v="2"/>
    <x v="0"/>
    <x v="0"/>
  </r>
  <r>
    <s v="ORD0437"/>
    <x v="71"/>
    <s v="CUST1062"/>
    <s v="Customer 1062"/>
    <s v="Keyboard"/>
    <x v="0"/>
    <n v="2"/>
    <n v="2200"/>
    <n v="0"/>
    <x v="178"/>
    <n v="3194.87"/>
    <n v="1205.1300000000001"/>
    <s v="Delhi"/>
    <x v="3"/>
    <x v="0"/>
    <x v="2"/>
    <x v="1"/>
  </r>
  <r>
    <s v="ORD0438"/>
    <x v="245"/>
    <s v="CUST1021"/>
    <s v="Customer 1021"/>
    <s v="Jeans"/>
    <x v="3"/>
    <n v="5"/>
    <n v="1800"/>
    <n v="0.15"/>
    <x v="78"/>
    <n v="6800.33"/>
    <n v="849.67"/>
    <s v="Mumbai"/>
    <x v="0"/>
    <x v="1"/>
    <x v="3"/>
    <x v="0"/>
  </r>
  <r>
    <s v="ORD0439"/>
    <x v="72"/>
    <s v="CUST1191"/>
    <s v="Customer 1191"/>
    <s v="Keyboard"/>
    <x v="0"/>
    <n v="4"/>
    <n v="2200"/>
    <n v="0.1"/>
    <x v="151"/>
    <n v="7042.43"/>
    <n v="877.57"/>
    <s v="Mysuru"/>
    <x v="4"/>
    <x v="0"/>
    <x v="3"/>
    <x v="0"/>
  </r>
  <r>
    <s v="ORD0440"/>
    <x v="46"/>
    <s v="CUST1203"/>
    <s v="Customer 1203"/>
    <s v="Smartphone"/>
    <x v="0"/>
    <n v="5"/>
    <n v="22000"/>
    <n v="0.2"/>
    <x v="185"/>
    <n v="86786.34"/>
    <n v="1213.6600000000001"/>
    <s v="Chennai"/>
    <x v="1"/>
    <x v="2"/>
    <x v="1"/>
    <x v="1"/>
  </r>
  <r>
    <s v="ORD0441"/>
    <x v="131"/>
    <s v="CUST1210"/>
    <s v="Customer 1210"/>
    <s v="T-Shirt"/>
    <x v="3"/>
    <n v="4"/>
    <n v="800"/>
    <n v="0.1"/>
    <x v="47"/>
    <n v="2244.0700000000002"/>
    <n v="635.92999999999995"/>
    <s v="Bengaluru"/>
    <x v="4"/>
    <x v="1"/>
    <x v="1"/>
    <x v="1"/>
  </r>
  <r>
    <s v="ORD0442"/>
    <x v="62"/>
    <s v="CUST1195"/>
    <s v="Customer 1195"/>
    <s v="Keyboard"/>
    <x v="0"/>
    <n v="3"/>
    <n v="2200"/>
    <n v="0.15"/>
    <x v="167"/>
    <n v="5290.23"/>
    <n v="319.77"/>
    <s v="Chennai"/>
    <x v="1"/>
    <x v="2"/>
    <x v="1"/>
    <x v="0"/>
  </r>
  <r>
    <s v="ORD0443"/>
    <x v="235"/>
    <s v="CUST1012"/>
    <s v="Customer 1012"/>
    <s v="Desk"/>
    <x v="2"/>
    <n v="5"/>
    <n v="6000"/>
    <n v="0.2"/>
    <x v="99"/>
    <n v="25688.45"/>
    <n v="-1688.45"/>
    <s v="Chennai"/>
    <x v="1"/>
    <x v="2"/>
    <x v="4"/>
    <x v="2"/>
  </r>
  <r>
    <s v="ORD0444"/>
    <x v="197"/>
    <s v="CUST1049"/>
    <s v="Customer 1049"/>
    <s v="Study Table Lamp"/>
    <x v="1"/>
    <n v="1"/>
    <n v="1200"/>
    <n v="0.1"/>
    <x v="101"/>
    <n v="813.33"/>
    <n v="266.67"/>
    <s v="Mumbai"/>
    <x v="0"/>
    <x v="0"/>
    <x v="4"/>
    <x v="0"/>
  </r>
  <r>
    <s v="ORD0445"/>
    <x v="201"/>
    <s v="CUST1238"/>
    <s v="Customer 1238"/>
    <s v="T-Shirt"/>
    <x v="3"/>
    <n v="3"/>
    <n v="800"/>
    <n v="0"/>
    <x v="193"/>
    <n v="1909.55"/>
    <n v="490.45"/>
    <s v="Bengaluru"/>
    <x v="4"/>
    <x v="0"/>
    <x v="0"/>
    <x v="0"/>
  </r>
  <r>
    <s v="ORD0446"/>
    <x v="169"/>
    <s v="CUST1247"/>
    <s v="Customer 1247"/>
    <s v="Gaming Mouse"/>
    <x v="0"/>
    <n v="4"/>
    <n v="1600"/>
    <n v="0.2"/>
    <x v="194"/>
    <n v="4894.28"/>
    <n v="225.72"/>
    <s v="Hyderabad"/>
    <x v="2"/>
    <x v="0"/>
    <x v="2"/>
    <x v="1"/>
  </r>
  <r>
    <s v="ORD0447"/>
    <x v="147"/>
    <s v="CUST1178"/>
    <s v="Customer 1178"/>
    <s v="Study Table Lamp"/>
    <x v="1"/>
    <n v="5"/>
    <n v="1200"/>
    <n v="0.15"/>
    <x v="49"/>
    <n v="4698.41"/>
    <n v="401.59"/>
    <s v="Hyderabad"/>
    <x v="2"/>
    <x v="0"/>
    <x v="4"/>
    <x v="0"/>
  </r>
  <r>
    <s v="ORD0448"/>
    <x v="108"/>
    <s v="CUST1108"/>
    <s v="Customer 1108"/>
    <s v="Book"/>
    <x v="4"/>
    <n v="5"/>
    <n v="450"/>
    <n v="0.2"/>
    <x v="3"/>
    <n v="1969.39"/>
    <n v="-169.39"/>
    <s v="Kolkata"/>
    <x v="5"/>
    <x v="0"/>
    <x v="4"/>
    <x v="0"/>
  </r>
  <r>
    <s v="ORD0449"/>
    <x v="246"/>
    <s v="CUST1036"/>
    <s v="Customer 1036"/>
    <s v="Book"/>
    <x v="4"/>
    <n v="3"/>
    <n v="450"/>
    <n v="0.1"/>
    <x v="195"/>
    <n v="1005.66"/>
    <n v="209.34"/>
    <s v="Hyderabad"/>
    <x v="2"/>
    <x v="0"/>
    <x v="0"/>
    <x v="0"/>
  </r>
  <r>
    <s v="ORD0450"/>
    <x v="240"/>
    <s v="CUST1160"/>
    <s v="Customer 1160"/>
    <s v="Coffee Maker"/>
    <x v="1"/>
    <n v="5"/>
    <n v="3500"/>
    <n v="0.05"/>
    <x v="196"/>
    <n v="14250.4"/>
    <n v="2374.6"/>
    <s v="Mumbai"/>
    <x v="0"/>
    <x v="2"/>
    <x v="1"/>
    <x v="2"/>
  </r>
  <r>
    <s v="ORD0451"/>
    <x v="247"/>
    <s v="CUST1182"/>
    <s v="Customer 1182"/>
    <s v="Backpack"/>
    <x v="5"/>
    <n v="2"/>
    <n v="1400"/>
    <n v="0.2"/>
    <x v="85"/>
    <n v="1894.32"/>
    <n v="345.68"/>
    <s v="Delhi"/>
    <x v="3"/>
    <x v="2"/>
    <x v="0"/>
    <x v="0"/>
  </r>
  <r>
    <s v="ORD0452"/>
    <x v="215"/>
    <s v="CUST1134"/>
    <s v="Customer 1134"/>
    <s v="Study Table Lamp"/>
    <x v="1"/>
    <n v="5"/>
    <n v="1200"/>
    <n v="0.1"/>
    <x v="112"/>
    <n v="4046.93"/>
    <n v="1353.07"/>
    <s v="Bengaluru"/>
    <x v="4"/>
    <x v="1"/>
    <x v="4"/>
    <x v="0"/>
  </r>
  <r>
    <s v="ORD0453"/>
    <x v="248"/>
    <s v="CUST1175"/>
    <s v="Customer 1175"/>
    <s v="Smartphone"/>
    <x v="0"/>
    <n v="2"/>
    <n v="22000"/>
    <n v="0.1"/>
    <x v="197"/>
    <n v="31135.68"/>
    <n v="8464.32"/>
    <s v="Pune"/>
    <x v="0"/>
    <x v="2"/>
    <x v="1"/>
    <x v="0"/>
  </r>
  <r>
    <s v="ORD0454"/>
    <x v="249"/>
    <s v="CUST1191"/>
    <s v="Customer 1191"/>
    <s v="Smartphone"/>
    <x v="0"/>
    <n v="3"/>
    <n v="22000"/>
    <n v="0.15"/>
    <x v="198"/>
    <n v="52723.27"/>
    <n v="3376.73"/>
    <s v="Mumbai"/>
    <x v="0"/>
    <x v="0"/>
    <x v="4"/>
    <x v="1"/>
  </r>
  <r>
    <s v="ORD0455"/>
    <x v="225"/>
    <s v="CUST1245"/>
    <s v="Customer 1245"/>
    <s v="Desk"/>
    <x v="2"/>
    <n v="1"/>
    <n v="6000"/>
    <n v="0.15"/>
    <x v="49"/>
    <n v="4987.59"/>
    <n v="112.41"/>
    <s v="Kolkata"/>
    <x v="5"/>
    <x v="0"/>
    <x v="1"/>
    <x v="1"/>
  </r>
  <r>
    <s v="ORD0456"/>
    <x v="242"/>
    <s v="CUST1213"/>
    <s v="Customer 1213"/>
    <s v="Smartphone"/>
    <x v="0"/>
    <n v="1"/>
    <n v="22000"/>
    <n v="0.1"/>
    <x v="192"/>
    <n v="15441.28"/>
    <n v="4358.72"/>
    <s v="Mysuru"/>
    <x v="4"/>
    <x v="1"/>
    <x v="1"/>
    <x v="1"/>
  </r>
  <r>
    <s v="ORD0457"/>
    <x v="24"/>
    <s v="CUST1175"/>
    <s v="Customer 1175"/>
    <s v="T-Shirt"/>
    <x v="3"/>
    <n v="2"/>
    <n v="800"/>
    <n v="0.1"/>
    <x v="95"/>
    <n v="1067.4000000000001"/>
    <n v="372.6"/>
    <s v="Hyderabad"/>
    <x v="2"/>
    <x v="2"/>
    <x v="0"/>
    <x v="0"/>
  </r>
  <r>
    <s v="ORD0458"/>
    <x v="160"/>
    <s v="CUST1034"/>
    <s v="Customer 1034"/>
    <s v="Book"/>
    <x v="4"/>
    <n v="1"/>
    <n v="450"/>
    <n v="0.15"/>
    <x v="184"/>
    <n v="309.16000000000003"/>
    <n v="73.34"/>
    <s v="Pune"/>
    <x v="0"/>
    <x v="0"/>
    <x v="2"/>
    <x v="0"/>
  </r>
  <r>
    <s v="ORD0459"/>
    <x v="3"/>
    <s v="CUST1153"/>
    <s v="Customer 1153"/>
    <s v="Gaming Mouse"/>
    <x v="0"/>
    <n v="2"/>
    <n v="1600"/>
    <n v="0"/>
    <x v="158"/>
    <n v="2117.4299999999998"/>
    <n v="1082.57"/>
    <s v="Delhi"/>
    <x v="3"/>
    <x v="2"/>
    <x v="0"/>
    <x v="2"/>
  </r>
  <r>
    <s v="ORD0460"/>
    <x v="250"/>
    <s v="CUST1019"/>
    <s v="Customer 1019"/>
    <s v="Desk"/>
    <x v="2"/>
    <n v="4"/>
    <n v="6000"/>
    <n v="0.2"/>
    <x v="23"/>
    <n v="19927.849999999999"/>
    <n v="-727.85"/>
    <s v="Delhi"/>
    <x v="3"/>
    <x v="2"/>
    <x v="0"/>
    <x v="0"/>
  </r>
  <r>
    <s v="ORD0461"/>
    <x v="169"/>
    <s v="CUST1107"/>
    <s v="Customer 1107"/>
    <s v="Shoes"/>
    <x v="3"/>
    <n v="-2"/>
    <n v="2800"/>
    <n v="0"/>
    <x v="199"/>
    <n v="10848.72"/>
    <n v="3151.28"/>
    <s v="Hyderabad"/>
    <x v="2"/>
    <x v="0"/>
    <x v="2"/>
    <x v="0"/>
  </r>
  <r>
    <s v="ORD0462"/>
    <x v="191"/>
    <s v="CUST1076"/>
    <s v="Customer 1076"/>
    <s v="Jeans"/>
    <x v="3"/>
    <n v="2"/>
    <n v="1800"/>
    <n v="0.1"/>
    <x v="77"/>
    <n v="2520.87"/>
    <n v="719.13"/>
    <s v="Delhi"/>
    <x v="3"/>
    <x v="0"/>
    <x v="0"/>
    <x v="0"/>
  </r>
  <r>
    <s v="ORD0463"/>
    <x v="229"/>
    <s v="CUST1232"/>
    <s v="Customer 1232"/>
    <s v="Laptop"/>
    <x v="0"/>
    <n v="1"/>
    <n v="55000"/>
    <n v="0.1"/>
    <x v="200"/>
    <n v="43874.64"/>
    <n v="5625.36"/>
    <s v="Mumbai"/>
    <x v="0"/>
    <x v="1"/>
    <x v="4"/>
    <x v="0"/>
  </r>
  <r>
    <s v="ORD0464"/>
    <x v="228"/>
    <s v="CUST1139"/>
    <s v="Customer 1139"/>
    <s v="Coffee Maker"/>
    <x v="1"/>
    <n v="4"/>
    <n v="3500"/>
    <n v="0"/>
    <x v="14"/>
    <n v="11431.2"/>
    <n v="2568.8000000000002"/>
    <s v="Pune"/>
    <x v="0"/>
    <x v="1"/>
    <x v="0"/>
    <x v="0"/>
  </r>
  <r>
    <s v="ORD0465"/>
    <x v="251"/>
    <s v="CUST1083"/>
    <s v="Customer 1083"/>
    <s v="Gaming Mouse"/>
    <x v="0"/>
    <n v="4"/>
    <n v="1600"/>
    <n v="0"/>
    <x v="48"/>
    <n v="4916.45"/>
    <n v="1483.55"/>
    <s v="Mumbai"/>
    <x v="0"/>
    <x v="1"/>
    <x v="4"/>
    <x v="1"/>
  </r>
  <r>
    <s v="ORD0466"/>
    <x v="19"/>
    <s v="CUST1222"/>
    <s v="Customer 1222"/>
    <s v="Laptop"/>
    <x v="0"/>
    <n v="1"/>
    <n v="55000"/>
    <n v="0.05"/>
    <x v="190"/>
    <n v="44420.38"/>
    <n v="7829.62"/>
    <s v="Mumbai"/>
    <x v="0"/>
    <x v="1"/>
    <x v="4"/>
    <x v="1"/>
  </r>
  <r>
    <s v="ORD0467"/>
    <x v="252"/>
    <s v="CUST1184"/>
    <s v="Customer 1184"/>
    <s v="Study Table Lamp"/>
    <x v="1"/>
    <n v="1"/>
    <n v="1200"/>
    <n v="0.05"/>
    <x v="75"/>
    <n v="871.55"/>
    <n v="268.45"/>
    <s v="Mysuru"/>
    <x v="4"/>
    <x v="2"/>
    <x v="2"/>
    <x v="0"/>
  </r>
  <r>
    <s v="ORD0468"/>
    <x v="21"/>
    <s v="CUST1234"/>
    <s v="Customer 1234"/>
    <s v="Shoes"/>
    <x v="3"/>
    <n v="3"/>
    <n v="2800"/>
    <n v="0.2"/>
    <x v="130"/>
    <n v="5959.71"/>
    <n v="760.29"/>
    <s v="Mumbai"/>
    <x v="0"/>
    <x v="1"/>
    <x v="3"/>
    <x v="2"/>
  </r>
  <r>
    <s v="ORD0469"/>
    <x v="253"/>
    <s v="CUST1173"/>
    <s v="Customer 1173"/>
    <s v="Book"/>
    <x v="4"/>
    <n v="4"/>
    <n v="450"/>
    <n v="0.1"/>
    <x v="17"/>
    <n v="1218.98"/>
    <n v="401.02"/>
    <s v="Kolkata"/>
    <x v="5"/>
    <x v="2"/>
    <x v="0"/>
    <x v="0"/>
  </r>
  <r>
    <s v="ORD0470"/>
    <x v="148"/>
    <s v="CUST1075"/>
    <s v="Customer 1075"/>
    <s v="Smartphone"/>
    <x v="0"/>
    <n v="1"/>
    <n v="22000"/>
    <n v="0.1"/>
    <x v="192"/>
    <n v="18281.669999999998"/>
    <n v="1518.33"/>
    <s v="Chennai"/>
    <x v="1"/>
    <x v="1"/>
    <x v="0"/>
    <x v="0"/>
  </r>
  <r>
    <s v="ORD0471"/>
    <x v="11"/>
    <s v="CUST1122"/>
    <s v="Customer 1122"/>
    <s v="Desk"/>
    <x v="2"/>
    <n v="4"/>
    <n v="6000"/>
    <n v="0.15"/>
    <x v="180"/>
    <n v="16462.91"/>
    <n v="3937.09"/>
    <s v="Bengaluru"/>
    <x v="4"/>
    <x v="0"/>
    <x v="4"/>
    <x v="2"/>
  </r>
  <r>
    <s v="ORD0472"/>
    <x v="183"/>
    <s v="CUST1077"/>
    <s v="Customer 1077"/>
    <s v="Book"/>
    <x v="4"/>
    <n v="5"/>
    <n v="450"/>
    <n v="0.1"/>
    <x v="140"/>
    <n v="1813"/>
    <n v="212"/>
    <s v="Hyderabad"/>
    <x v="2"/>
    <x v="1"/>
    <x v="1"/>
    <x v="0"/>
  </r>
  <r>
    <s v="ORD0473"/>
    <x v="185"/>
    <s v="CUST1138"/>
    <s v="Customer 1138"/>
    <s v="Backpack"/>
    <x v="5"/>
    <n v="1"/>
    <n v="1400"/>
    <n v="0"/>
    <x v="71"/>
    <n v="1086.3"/>
    <n v="313.7"/>
    <s v="Kolkata"/>
    <x v="5"/>
    <x v="0"/>
    <x v="1"/>
    <x v="0"/>
  </r>
  <r>
    <s v="ORD0474"/>
    <x v="254"/>
    <s v="CUST1042"/>
    <s v="Customer 1042"/>
    <s v="Mixer Grinder"/>
    <x v="1"/>
    <n v="2"/>
    <n v="2800"/>
    <n v="0.15"/>
    <x v="117"/>
    <n v="3876.98"/>
    <n v="883.02"/>
    <s v="Hyderabad"/>
    <x v="2"/>
    <x v="2"/>
    <x v="1"/>
    <x v="0"/>
  </r>
  <r>
    <s v="ORD0475"/>
    <x v="200"/>
    <s v="CUST1166"/>
    <s v="Customer 1166"/>
    <s v="Smartwatch"/>
    <x v="0"/>
    <n v="2"/>
    <n v="4500"/>
    <n v="0.2"/>
    <x v="26"/>
    <n v="6987.81"/>
    <n v="212.19"/>
    <s v="Mysuru"/>
    <x v="4"/>
    <x v="0"/>
    <x v="2"/>
    <x v="0"/>
  </r>
  <r>
    <s v="ORD0476"/>
    <x v="199"/>
    <s v="CUST1092"/>
    <s v="Customer 1092"/>
    <s v="Smartwatch"/>
    <x v="0"/>
    <n v="2"/>
    <n v="4500"/>
    <n v="0.2"/>
    <x v="26"/>
    <n v="6115.41"/>
    <n v="1084.5899999999999"/>
    <s v="Delhi"/>
    <x v="3"/>
    <x v="0"/>
    <x v="4"/>
    <x v="0"/>
  </r>
  <r>
    <s v="ORD0477"/>
    <x v="132"/>
    <s v="CUST1125"/>
    <s v="Customer 1125"/>
    <s v="Desk"/>
    <x v="2"/>
    <n v="5"/>
    <n v="6000"/>
    <n v="0"/>
    <x v="59"/>
    <n v="22609.46"/>
    <n v="7390.54"/>
    <s v="Delhi"/>
    <x v="3"/>
    <x v="1"/>
    <x v="1"/>
    <x v="2"/>
  </r>
  <r>
    <s v="ORD0478"/>
    <x v="131"/>
    <s v="CUST1246"/>
    <s v="Customer 1246"/>
    <s v="Backpack"/>
    <x v="5"/>
    <n v="5"/>
    <n v="1400"/>
    <n v="0.2"/>
    <x v="56"/>
    <n v="5239.57"/>
    <n v="360.43"/>
    <s v="Delhi"/>
    <x v="3"/>
    <x v="2"/>
    <x v="1"/>
    <x v="0"/>
  </r>
  <r>
    <s v="ORD0479"/>
    <x v="190"/>
    <s v="CUST1174"/>
    <s v="Customer 1174"/>
    <s v="Jeans"/>
    <x v="3"/>
    <n v="4"/>
    <n v="1800"/>
    <n v="0.1"/>
    <x v="87"/>
    <n v="5893.8"/>
    <n v="586.20000000000005"/>
    <s v="Hyderabad"/>
    <x v="2"/>
    <x v="1"/>
    <x v="3"/>
    <x v="0"/>
  </r>
  <r>
    <s v="ORD0480"/>
    <x v="35"/>
    <s v="CUST1045"/>
    <s v="Customer 1045"/>
    <s v="Mixer Grinder"/>
    <x v="1"/>
    <n v="3"/>
    <n v="2800"/>
    <n v="0.15"/>
    <x v="84"/>
    <n v="6707.21"/>
    <n v="432.79"/>
    <s v="Chennai"/>
    <x v="1"/>
    <x v="1"/>
    <x v="1"/>
    <x v="0"/>
  </r>
  <r>
    <s v="ORD0481"/>
    <x v="63"/>
    <s v="CUST1218"/>
    <s v="Customer 1218"/>
    <s v="T-Shirt"/>
    <x v="3"/>
    <n v="3"/>
    <n v="800"/>
    <n v="0"/>
    <x v="193"/>
    <n v="1839.96"/>
    <n v="560.04"/>
    <s v="Bengaluru"/>
    <x v="4"/>
    <x v="0"/>
    <x v="0"/>
    <x v="1"/>
  </r>
  <r>
    <s v="ORD0482"/>
    <x v="255"/>
    <s v="CUST1140"/>
    <s v="Customer 1140"/>
    <s v="Book"/>
    <x v="4"/>
    <n v="5"/>
    <n v="450"/>
    <n v="0.05"/>
    <x v="201"/>
    <n v="1925.14"/>
    <n v="212.36"/>
    <s v="Pune"/>
    <x v="0"/>
    <x v="0"/>
    <x v="3"/>
    <x v="2"/>
  </r>
  <r>
    <s v="ORD0483"/>
    <x v="256"/>
    <s v="CUST1035"/>
    <s v="Customer 1035"/>
    <s v="Backpack"/>
    <x v="5"/>
    <n v="3"/>
    <n v="1400"/>
    <n v="0.15"/>
    <x v="202"/>
    <n v="3178.9"/>
    <n v="391.1"/>
    <s v="Pune"/>
    <x v="0"/>
    <x v="0"/>
    <x v="2"/>
    <x v="0"/>
  </r>
  <r>
    <s v="ORD0484"/>
    <x v="33"/>
    <s v="CUST1218"/>
    <s v="Customer 1218"/>
    <s v="Mixer Grinder"/>
    <x v="1"/>
    <n v="5"/>
    <n v="2800"/>
    <n v="0"/>
    <x v="14"/>
    <n v="12204.08"/>
    <n v="1795.92"/>
    <s v="Mumbai"/>
    <x v="0"/>
    <x v="2"/>
    <x v="4"/>
    <x v="1"/>
  </r>
  <r>
    <s v="ORD0485"/>
    <x v="257"/>
    <s v="CUST1189"/>
    <s v="Customer 1189"/>
    <s v="Backpack"/>
    <x v="5"/>
    <n v="4"/>
    <n v="1400"/>
    <n v="0.05"/>
    <x v="35"/>
    <n v="4582.82"/>
    <n v="737.18"/>
    <s v="Hyderabad"/>
    <x v="2"/>
    <x v="1"/>
    <x v="2"/>
    <x v="0"/>
  </r>
  <r>
    <s v="ORD0486"/>
    <x v="74"/>
    <s v="CUST1060"/>
    <s v="Customer 1060"/>
    <s v="Keyboard"/>
    <x v="0"/>
    <n v="2"/>
    <n v="2200"/>
    <n v="0"/>
    <x v="178"/>
    <n v="2903.32"/>
    <n v="1496.68"/>
    <s v="Delhi"/>
    <x v="3"/>
    <x v="0"/>
    <x v="0"/>
    <x v="0"/>
  </r>
  <r>
    <s v="ORD0487"/>
    <x v="48"/>
    <s v="CUST1167"/>
    <s v="Customer 1167"/>
    <s v="Book"/>
    <x v="4"/>
    <n v="4"/>
    <n v="450"/>
    <n v="0.15"/>
    <x v="68"/>
    <n v="1304.17"/>
    <n v="225.83"/>
    <s v="Bengaluru"/>
    <x v="4"/>
    <x v="2"/>
    <x v="0"/>
    <x v="2"/>
  </r>
  <r>
    <s v="ORD0488"/>
    <x v="140"/>
    <s v="CUST1097"/>
    <s v="Customer 1097"/>
    <s v="Office Chair"/>
    <x v="2"/>
    <n v="3"/>
    <n v="7500"/>
    <n v="0.2"/>
    <x v="103"/>
    <n v="18007.77"/>
    <n v="-7.77"/>
    <s v="Hyderabad"/>
    <x v="2"/>
    <x v="2"/>
    <x v="0"/>
    <x v="2"/>
  </r>
  <r>
    <s v="ORD0489"/>
    <x v="128"/>
    <s v="CUST1133"/>
    <s v="Customer 1133"/>
    <s v="Headphones"/>
    <x v="0"/>
    <n v="5"/>
    <n v="1800"/>
    <n v="0.1"/>
    <x v="64"/>
    <n v="6690.09"/>
    <n v="1409.91"/>
    <s v="Mumbai"/>
    <x v="0"/>
    <x v="0"/>
    <x v="3"/>
    <x v="0"/>
  </r>
  <r>
    <s v="ORD0490"/>
    <x v="52"/>
    <s v="CUST1059"/>
    <s v="Customer 1059"/>
    <s v="Laptop"/>
    <x v="0"/>
    <n v="5"/>
    <n v="55000"/>
    <n v="0.05"/>
    <x v="164"/>
    <n v="183625.83"/>
    <n v="77624.17"/>
    <s v="Hyderabad"/>
    <x v="2"/>
    <x v="2"/>
    <x v="1"/>
    <x v="0"/>
  </r>
  <r>
    <s v="ORD0491"/>
    <x v="4"/>
    <s v="CUST1170"/>
    <s v="Customer 1170"/>
    <s v="Backpack"/>
    <x v="5"/>
    <n v="2"/>
    <n v="1400"/>
    <n v="0.05"/>
    <x v="29"/>
    <n v="1968.34"/>
    <n v="691.66"/>
    <s v="Chennai"/>
    <x v="1"/>
    <x v="1"/>
    <x v="2"/>
    <x v="0"/>
  </r>
  <r>
    <s v="ORD0492"/>
    <x v="198"/>
    <s v="CUST1166"/>
    <s v="Customer 1166"/>
    <s v="Keyboard"/>
    <x v="0"/>
    <n v="4"/>
    <n v="2200"/>
    <n v="0.05"/>
    <x v="22"/>
    <n v="7406.73"/>
    <n v="953.27"/>
    <s v="Hyderabad"/>
    <x v="2"/>
    <x v="0"/>
    <x v="4"/>
    <x v="0"/>
  </r>
  <r>
    <s v="ORD0493"/>
    <x v="248"/>
    <s v="CUST1162"/>
    <s v="Customer 1162"/>
    <s v="Backpack"/>
    <x v="5"/>
    <n v="5"/>
    <n v="1400"/>
    <n v="0.2"/>
    <x v="56"/>
    <n v="5375.35"/>
    <n v="224.65"/>
    <s v="Hyderabad"/>
    <x v="2"/>
    <x v="0"/>
    <x v="4"/>
    <x v="0"/>
  </r>
  <r>
    <s v="ORD0494"/>
    <x v="67"/>
    <s v="CUST1154"/>
    <s v="Customer 1154"/>
    <s v="Shoes"/>
    <x v="3"/>
    <n v="3"/>
    <n v="2800"/>
    <n v="0.05"/>
    <x v="126"/>
    <n v="7332.58"/>
    <n v="647.41999999999996"/>
    <s v="Kolkata"/>
    <x v="5"/>
    <x v="1"/>
    <x v="2"/>
    <x v="2"/>
  </r>
  <r>
    <s v="ORD0495"/>
    <x v="24"/>
    <s v="CUST1223"/>
    <s v="Customer 1223"/>
    <s v="Desk"/>
    <x v="2"/>
    <n v="1"/>
    <n v="6000"/>
    <n v="0.05"/>
    <x v="67"/>
    <n v="4564.7"/>
    <n v="1135.3"/>
    <s v="Mysuru"/>
    <x v="4"/>
    <x v="2"/>
    <x v="3"/>
    <x v="1"/>
  </r>
  <r>
    <s v="ORD0496"/>
    <x v="155"/>
    <s v="CUST1043"/>
    <s v="Customer 1043"/>
    <s v="Backpack"/>
    <x v="5"/>
    <n v="5"/>
    <n v="1400"/>
    <n v="0.05"/>
    <x v="134"/>
    <n v="5715.94"/>
    <n v="934.06"/>
    <s v="Pune"/>
    <x v="0"/>
    <x v="0"/>
    <x v="3"/>
    <x v="1"/>
  </r>
  <r>
    <s v="ORD0497"/>
    <x v="228"/>
    <s v="CUST1028"/>
    <s v="Customer 1028"/>
    <s v="Headphones"/>
    <x v="0"/>
    <n v="2"/>
    <n v="1800"/>
    <n v="0.15"/>
    <x v="154"/>
    <n v="2353.71"/>
    <n v="706.29"/>
    <s v="Hyderabad"/>
    <x v="2"/>
    <x v="0"/>
    <x v="0"/>
    <x v="2"/>
  </r>
  <r>
    <s v="ORD0498"/>
    <x v="258"/>
    <s v="CUST1122"/>
    <s v="Customer 1122"/>
    <s v="Study Table Lamp"/>
    <x v="1"/>
    <n v="2"/>
    <n v="1200"/>
    <n v="0.2"/>
    <x v="76"/>
    <n v="2057.69"/>
    <n v="-137.69"/>
    <s v="Hyderabad"/>
    <x v="2"/>
    <x v="1"/>
    <x v="2"/>
    <x v="1"/>
  </r>
  <r>
    <s v="ORD0499"/>
    <x v="259"/>
    <s v="CUST1231"/>
    <s v="Customer 1231"/>
    <s v="Smartwatch"/>
    <x v="0"/>
    <n v="1"/>
    <n v="4500"/>
    <n v="0.15"/>
    <x v="66"/>
    <n v="3549.6"/>
    <n v="275.39999999999998"/>
    <s v="Hyderabad"/>
    <x v="2"/>
    <x v="2"/>
    <x v="3"/>
    <x v="1"/>
  </r>
  <r>
    <s v="ORD0500"/>
    <x v="180"/>
    <s v="CUST1059"/>
    <s v="Customer 1059"/>
    <s v="Study Table Lamp"/>
    <x v="1"/>
    <n v="3"/>
    <n v="1200"/>
    <n v="0"/>
    <x v="25"/>
    <n v="3117.01"/>
    <n v="482.99"/>
    <s v="Kolkata"/>
    <x v="5"/>
    <x v="1"/>
    <x v="3"/>
    <x v="0"/>
  </r>
  <r>
    <s v="ORD0501"/>
    <x v="260"/>
    <s v="CUST1197"/>
    <s v="Customer 1197"/>
    <s v="Smartwatch"/>
    <x v="0"/>
    <n v="4"/>
    <n v="4500"/>
    <n v="0.05"/>
    <x v="83"/>
    <n v="12662.6"/>
    <n v="4437.3999999999996"/>
    <s v="Mysuru"/>
    <x v="4"/>
    <x v="0"/>
    <x v="1"/>
    <x v="1"/>
  </r>
  <r>
    <s v="ORD0502"/>
    <x v="185"/>
    <s v="CUST1148"/>
    <s v="Customer 1148"/>
    <s v="Study Table Lamp"/>
    <x v="1"/>
    <n v="3"/>
    <n v="1200"/>
    <n v="0.05"/>
    <x v="51"/>
    <n v="2772.66"/>
    <n v="647.34"/>
    <s v="Bengaluru"/>
    <x v="4"/>
    <x v="3"/>
    <x v="2"/>
    <x v="0"/>
  </r>
  <r>
    <s v="ORD0504"/>
    <x v="244"/>
    <s v="CUST1175"/>
    <s v="Customer 1175"/>
    <s v="Study Table Lamp"/>
    <x v="1"/>
    <n v="5"/>
    <n v="1200"/>
    <n v="0.1"/>
    <x v="112"/>
    <n v="4448.49"/>
    <n v="951.51"/>
    <s v="Pune"/>
    <x v="0"/>
    <x v="1"/>
    <x v="3"/>
    <x v="1"/>
  </r>
  <r>
    <s v="ORD0505"/>
    <x v="261"/>
    <s v="CUST1065"/>
    <s v="Customer 1065"/>
    <s v="Keyboard"/>
    <x v="0"/>
    <n v="2"/>
    <n v="2200"/>
    <n v="0.1"/>
    <x v="50"/>
    <n v="3860.37"/>
    <n v="99.63"/>
    <s v="Mysuru"/>
    <x v="4"/>
    <x v="0"/>
    <x v="1"/>
    <x v="2"/>
  </r>
  <r>
    <s v="ORD0506"/>
    <x v="210"/>
    <s v="CUST1201"/>
    <s v="Customer 1201"/>
    <s v="Book"/>
    <x v="4"/>
    <n v="2"/>
    <n v="450"/>
    <n v="0"/>
    <x v="203"/>
    <n v="729.76"/>
    <n v="170.24"/>
    <s v="Mysuru"/>
    <x v="4"/>
    <x v="1"/>
    <x v="2"/>
    <x v="0"/>
  </r>
  <r>
    <s v="ORD0507"/>
    <x v="239"/>
    <s v="CUST1042"/>
    <s v="Customer 1042"/>
    <s v="Book"/>
    <x v="4"/>
    <n v="3"/>
    <n v="450"/>
    <n v="0.2"/>
    <x v="101"/>
    <n v="998.32"/>
    <n v="81.680000000000007"/>
    <s v="Bengaluru"/>
    <x v="4"/>
    <x v="0"/>
    <x v="2"/>
    <x v="0"/>
  </r>
  <r>
    <s v="ORD0508"/>
    <x v="262"/>
    <s v="CUST1017"/>
    <s v="Customer 1017"/>
    <s v="Backpack"/>
    <x v="5"/>
    <n v="4"/>
    <n v="1400"/>
    <n v="0.2"/>
    <x v="15"/>
    <n v="3978.86"/>
    <n v="501.14"/>
    <s v="Chennai"/>
    <x v="1"/>
    <x v="2"/>
    <x v="2"/>
    <x v="1"/>
  </r>
  <r>
    <s v="ORD0509"/>
    <x v="239"/>
    <s v="CUST1183"/>
    <s v="Customer 1183"/>
    <s v="Smartphone"/>
    <x v="0"/>
    <n v="4"/>
    <n v="22000"/>
    <n v="0.15"/>
    <x v="144"/>
    <n v="76701.84"/>
    <n v="-1901.84"/>
    <s v="Pune"/>
    <x v="0"/>
    <x v="1"/>
    <x v="4"/>
    <x v="2"/>
  </r>
  <r>
    <s v="ORD0510"/>
    <x v="242"/>
    <s v="CUST1050"/>
    <s v="Customer 1050"/>
    <s v="Keyboard"/>
    <x v="0"/>
    <n v="4"/>
    <n v="2200"/>
    <n v="0"/>
    <x v="155"/>
    <n v="5788.03"/>
    <n v="3011.97"/>
    <s v="Pune"/>
    <x v="0"/>
    <x v="0"/>
    <x v="0"/>
    <x v="1"/>
  </r>
  <r>
    <s v="ORD0511"/>
    <x v="88"/>
    <s v="CUST1093"/>
    <s v="Customer 1093"/>
    <s v="Jeans"/>
    <x v="3"/>
    <n v="5"/>
    <n v="1800"/>
    <n v="0.05"/>
    <x v="8"/>
    <n v="6345.26"/>
    <n v="2204.7399999999998"/>
    <s v="Bengaluru"/>
    <x v="4"/>
    <x v="1"/>
    <x v="4"/>
    <x v="0"/>
  </r>
  <r>
    <s v="ORD0512"/>
    <x v="119"/>
    <s v="CUST1104"/>
    <s v="Customer 1104"/>
    <s v="Office Chair"/>
    <x v="2"/>
    <n v="4"/>
    <n v="7500"/>
    <n v="0.1"/>
    <x v="86"/>
    <n v="23543.95"/>
    <n v="3456.05"/>
    <s v="Kolkata"/>
    <x v="5"/>
    <x v="0"/>
    <x v="2"/>
    <x v="2"/>
  </r>
  <r>
    <s v="ORD0513"/>
    <x v="263"/>
    <s v="CUST1089"/>
    <s v="Customer 1089"/>
    <s v="Headphones"/>
    <x v="0"/>
    <n v="1"/>
    <n v="1800"/>
    <n v="0.2"/>
    <x v="95"/>
    <n v="1568.8"/>
    <n v="-128.80000000000001"/>
    <s v="Delhi"/>
    <x v="3"/>
    <x v="2"/>
    <x v="4"/>
    <x v="1"/>
  </r>
  <r>
    <s v="ORD0514"/>
    <x v="264"/>
    <s v="CUST1067"/>
    <s v="Customer 1067"/>
    <s v="T-Shirt"/>
    <x v="3"/>
    <n v="4"/>
    <n v="800"/>
    <n v="0.15"/>
    <x v="46"/>
    <n v="2208.83"/>
    <n v="511.17"/>
    <s v="Bengaluru"/>
    <x v="4"/>
    <x v="0"/>
    <x v="2"/>
    <x v="1"/>
  </r>
  <r>
    <s v="ORD0515"/>
    <x v="265"/>
    <s v="CUST1206"/>
    <s v="Customer 1206"/>
    <s v="Headphones"/>
    <x v="0"/>
    <n v="5"/>
    <n v="1800"/>
    <n v="0.1"/>
    <x v="64"/>
    <n v="6912.5"/>
    <n v="1187.5"/>
    <s v="Chennai"/>
    <x v="1"/>
    <x v="2"/>
    <x v="0"/>
    <x v="1"/>
  </r>
  <r>
    <s v="ORD0516"/>
    <x v="266"/>
    <s v="CUST1198"/>
    <s v="Customer 1198"/>
    <s v="Office Chair"/>
    <x v="2"/>
    <n v="4"/>
    <n v="7500"/>
    <n v="0.15"/>
    <x v="166"/>
    <n v="21178.59"/>
    <n v="4321.41"/>
    <s v="Mysuru"/>
    <x v="4"/>
    <x v="2"/>
    <x v="3"/>
    <x v="2"/>
  </r>
  <r>
    <s v="ORD0517"/>
    <x v="98"/>
    <s v="CUST1067"/>
    <s v="Customer 1067"/>
    <s v="Gaming Mouse"/>
    <x v="0"/>
    <n v="5"/>
    <n v="1600"/>
    <n v="0"/>
    <x v="21"/>
    <n v="5324.3"/>
    <n v="2675.7"/>
    <s v="Chennai"/>
    <x v="1"/>
    <x v="0"/>
    <x v="4"/>
    <x v="2"/>
  </r>
  <r>
    <s v="ORD0518"/>
    <x v="139"/>
    <s v="CUST1180"/>
    <s v="Customer 1180"/>
    <s v="Jeans"/>
    <x v="3"/>
    <n v="3"/>
    <n v="1800"/>
    <n v="0.15"/>
    <x v="114"/>
    <n v="4543.5600000000004"/>
    <n v="46.44"/>
    <s v="Bengaluru"/>
    <x v="4"/>
    <x v="1"/>
    <x v="1"/>
    <x v="0"/>
  </r>
  <r>
    <s v="ORD0519"/>
    <x v="69"/>
    <s v="CUST1122"/>
    <s v="Customer 1122"/>
    <s v="Book"/>
    <x v="4"/>
    <n v="3"/>
    <n v="450"/>
    <n v="0"/>
    <x v="153"/>
    <n v="974.96"/>
    <n v="375.04"/>
    <s v="Hyderabad"/>
    <x v="2"/>
    <x v="1"/>
    <x v="0"/>
    <x v="0"/>
  </r>
  <r>
    <s v="ORD0520"/>
    <x v="240"/>
    <s v="CUST1189"/>
    <s v="Customer 1189"/>
    <s v="Shoes"/>
    <x v="3"/>
    <n v="2"/>
    <n v="2800"/>
    <n v="0.15"/>
    <x v="117"/>
    <n v="3951.77"/>
    <n v="808.23"/>
    <s v="Mumbai"/>
    <x v="0"/>
    <x v="2"/>
    <x v="4"/>
    <x v="0"/>
  </r>
  <r>
    <s v="ORD0521"/>
    <x v="267"/>
    <s v="CUST1200"/>
    <s v="Customer 1200"/>
    <s v="T-Shirt"/>
    <x v="3"/>
    <n v="2"/>
    <n v="800"/>
    <n v="0.2"/>
    <x v="20"/>
    <n v="1079.26"/>
    <n v="200.74"/>
    <s v="Hyderabad"/>
    <x v="2"/>
    <x v="1"/>
    <x v="3"/>
    <x v="1"/>
  </r>
  <r>
    <s v="ORD0522"/>
    <x v="98"/>
    <s v="CUST1159"/>
    <s v="Customer 1159"/>
    <s v="Laptop"/>
    <x v="0"/>
    <n v="5"/>
    <n v="55000"/>
    <n v="0"/>
    <x v="165"/>
    <n v="198700.12"/>
    <n v="76299.88"/>
    <s v="Delhi"/>
    <x v="3"/>
    <x v="0"/>
    <x v="1"/>
    <x v="0"/>
  </r>
  <r>
    <s v="ORD0523"/>
    <x v="142"/>
    <s v="CUST1193"/>
    <s v="Customer 1193"/>
    <s v="Shoes"/>
    <x v="3"/>
    <n v="5"/>
    <n v="2800"/>
    <n v="0.1"/>
    <x v="55"/>
    <n v="10956.86"/>
    <n v="1643.14"/>
    <s v="Mumbai"/>
    <x v="0"/>
    <x v="1"/>
    <x v="0"/>
    <x v="0"/>
  </r>
  <r>
    <s v="ORD0524"/>
    <x v="148"/>
    <s v="CUST1101"/>
    <s v="Customer 1101"/>
    <s v="Keyboard"/>
    <x v="0"/>
    <n v="5"/>
    <n v="2200"/>
    <n v="0"/>
    <x v="204"/>
    <n v="9326.81"/>
    <n v="1673.19"/>
    <s v="Delhi"/>
    <x v="3"/>
    <x v="1"/>
    <x v="3"/>
    <x v="0"/>
  </r>
  <r>
    <s v="ORD0525"/>
    <x v="233"/>
    <s v="CUST1098"/>
    <s v="Customer 1098"/>
    <s v="Gaming Mouse"/>
    <x v="0"/>
    <n v="3"/>
    <n v="1600"/>
    <n v="0"/>
    <x v="19"/>
    <n v="3761.43"/>
    <n v="1038.57"/>
    <s v="Mumbai"/>
    <x v="0"/>
    <x v="2"/>
    <x v="1"/>
    <x v="1"/>
  </r>
  <r>
    <s v="ORD0526"/>
    <x v="268"/>
    <s v="CUST1069"/>
    <s v="Customer 1069"/>
    <s v="Office Chair"/>
    <x v="2"/>
    <n v="2"/>
    <n v="7500"/>
    <n v="0.2"/>
    <x v="16"/>
    <n v="11376.14"/>
    <n v="623.86"/>
    <s v="Mumbai"/>
    <x v="0"/>
    <x v="0"/>
    <x v="1"/>
    <x v="0"/>
  </r>
  <r>
    <s v="ORD0527"/>
    <x v="269"/>
    <s v="CUST1180"/>
    <s v="Customer 1180"/>
    <s v="Shoes"/>
    <x v="3"/>
    <n v="4"/>
    <n v="2800"/>
    <n v="0.15"/>
    <x v="135"/>
    <n v="9217.66"/>
    <n v="302.33999999999997"/>
    <s v="Kolkata"/>
    <x v="5"/>
    <x v="2"/>
    <x v="3"/>
    <x v="0"/>
  </r>
  <r>
    <s v="ORD0528"/>
    <x v="81"/>
    <s v="CUST1209"/>
    <s v="Customer 1209"/>
    <s v="Gaming Mouse"/>
    <x v="0"/>
    <n v="2"/>
    <n v="1600"/>
    <n v="0.2"/>
    <x v="123"/>
    <n v="2153.5"/>
    <n v="406.5"/>
    <s v="Mumbai"/>
    <x v="0"/>
    <x v="2"/>
    <x v="4"/>
    <x v="1"/>
  </r>
  <r>
    <s v="ORD0529"/>
    <x v="91"/>
    <s v="CUST1122"/>
    <s v="Customer 1122"/>
    <s v="Study Table Lamp"/>
    <x v="1"/>
    <n v="4"/>
    <n v="1200"/>
    <n v="0.05"/>
    <x v="170"/>
    <n v="4009.46"/>
    <n v="550.54"/>
    <s v="Hyderabad"/>
    <x v="2"/>
    <x v="1"/>
    <x v="3"/>
    <x v="0"/>
  </r>
  <r>
    <s v="ORD0530"/>
    <x v="270"/>
    <s v="CUST1077"/>
    <s v="Customer 1077"/>
    <s v="Backpack"/>
    <x v="5"/>
    <n v="5"/>
    <n v="1400"/>
    <n v="0.2"/>
    <x v="56"/>
    <n v="4954.07"/>
    <n v="645.92999999999995"/>
    <s v="Mysuru"/>
    <x v="4"/>
    <x v="0"/>
    <x v="2"/>
    <x v="0"/>
  </r>
  <r>
    <s v="ORD0531"/>
    <x v="117"/>
    <s v="CUST1122"/>
    <s v="Customer 1122"/>
    <s v="Smartwatch"/>
    <x v="0"/>
    <n v="2"/>
    <n v="4500"/>
    <n v="0"/>
    <x v="72"/>
    <n v="7586.67"/>
    <n v="1413.33"/>
    <s v="Pune"/>
    <x v="0"/>
    <x v="1"/>
    <x v="3"/>
    <x v="2"/>
  </r>
  <r>
    <s v="ORD0532"/>
    <x v="190"/>
    <s v="CUST1089"/>
    <s v="Customer 1089"/>
    <s v="Coffee Maker"/>
    <x v="1"/>
    <n v="3"/>
    <n v="3500"/>
    <n v="0.1"/>
    <x v="74"/>
    <n v="6872.9"/>
    <n v="2577.1"/>
    <s v="Pune"/>
    <x v="0"/>
    <x v="1"/>
    <x v="1"/>
    <x v="2"/>
  </r>
  <r>
    <s v="ORD0533"/>
    <x v="135"/>
    <s v="CUST1200"/>
    <s v="Customer 1200"/>
    <s v="T-Shirt"/>
    <x v="3"/>
    <n v="5"/>
    <n v="800"/>
    <n v="0.2"/>
    <x v="158"/>
    <n v="2861.84"/>
    <n v="338.16"/>
    <s v="Hyderabad"/>
    <x v="2"/>
    <x v="2"/>
    <x v="0"/>
    <x v="0"/>
  </r>
  <r>
    <s v="ORD0534"/>
    <x v="239"/>
    <s v="CUST1119"/>
    <s v="Customer 1119"/>
    <s v="Gaming Mouse"/>
    <x v="0"/>
    <n v="1"/>
    <n v="1600"/>
    <n v="0.15"/>
    <x v="113"/>
    <n v="1272.47"/>
    <n v="87.53"/>
    <s v="Pune"/>
    <x v="0"/>
    <x v="1"/>
    <x v="4"/>
    <x v="2"/>
  </r>
  <r>
    <s v="ORD0535"/>
    <x v="231"/>
    <s v="CUST1218"/>
    <s v="Customer 1218"/>
    <s v="Coffee Maker"/>
    <x v="1"/>
    <n v="4"/>
    <n v="3500"/>
    <n v="0.2"/>
    <x v="40"/>
    <n v="12020.78"/>
    <n v="-820.78"/>
    <s v="Kolkata"/>
    <x v="5"/>
    <x v="1"/>
    <x v="4"/>
    <x v="0"/>
  </r>
  <r>
    <s v="ORD0536"/>
    <x v="204"/>
    <s v="CUST1182"/>
    <s v="Customer 1182"/>
    <s v="Jeans"/>
    <x v="3"/>
    <n v="3"/>
    <n v="1800"/>
    <n v="0.1"/>
    <x v="38"/>
    <n v="3842.2"/>
    <n v="1017.8"/>
    <s v="Pune"/>
    <x v="0"/>
    <x v="0"/>
    <x v="3"/>
    <x v="0"/>
  </r>
  <r>
    <s v="ORD0537"/>
    <x v="271"/>
    <s v="CUST1106"/>
    <s v="Customer 1106"/>
    <s v="Gaming Mouse"/>
    <x v="0"/>
    <n v="3"/>
    <n v="1600"/>
    <n v="0.2"/>
    <x v="98"/>
    <n v="3304.72"/>
    <n v="535.28"/>
    <s v="Mysuru"/>
    <x v="4"/>
    <x v="1"/>
    <x v="4"/>
    <x v="2"/>
  </r>
  <r>
    <s v="ORD0538"/>
    <x v="269"/>
    <s v="CUST1102"/>
    <s v="Customer 1102"/>
    <s v="Jeans"/>
    <x v="3"/>
    <n v="3"/>
    <n v="1800"/>
    <n v="0"/>
    <x v="112"/>
    <n v="3637.94"/>
    <n v="1762.06"/>
    <s v="Hyderabad"/>
    <x v="2"/>
    <x v="1"/>
    <x v="3"/>
    <x v="1"/>
  </r>
  <r>
    <s v="ORD0539"/>
    <x v="165"/>
    <s v="CUST1027"/>
    <s v="Customer 1027"/>
    <s v="Smartphone"/>
    <x v="0"/>
    <n v="1"/>
    <n v="22000"/>
    <n v="0.15"/>
    <x v="143"/>
    <n v="15628.01"/>
    <n v="3071.99"/>
    <s v="Chennai"/>
    <x v="1"/>
    <x v="1"/>
    <x v="2"/>
    <x v="2"/>
  </r>
  <r>
    <s v="ORD0540"/>
    <x v="168"/>
    <s v="CUST1114"/>
    <s v="Customer 1114"/>
    <s v="Book"/>
    <x v="4"/>
    <n v="3"/>
    <n v="450"/>
    <n v="0.05"/>
    <x v="93"/>
    <n v="1072.02"/>
    <n v="210.48"/>
    <s v="Pune"/>
    <x v="0"/>
    <x v="1"/>
    <x v="0"/>
    <x v="0"/>
  </r>
  <r>
    <s v="ORD0541"/>
    <x v="121"/>
    <s v="CUST1120"/>
    <s v="Customer 1120"/>
    <s v="Laptop"/>
    <x v="0"/>
    <n v="1"/>
    <n v="55000"/>
    <n v="0.1"/>
    <x v="200"/>
    <n v="48083.519999999997"/>
    <n v="1416.48"/>
    <s v="Mysuru"/>
    <x v="4"/>
    <x v="0"/>
    <x v="1"/>
    <x v="1"/>
  </r>
  <r>
    <s v="ORD0542"/>
    <x v="37"/>
    <s v="CUST1162"/>
    <s v="Customer 1162"/>
    <s v="Gaming Mouse"/>
    <x v="0"/>
    <n v="2"/>
    <n v="1600"/>
    <n v="0.2"/>
    <x v="123"/>
    <n v="2631.2"/>
    <n v="-71.2"/>
    <s v="Mysuru"/>
    <x v="4"/>
    <x v="0"/>
    <x v="3"/>
    <x v="1"/>
  </r>
  <r>
    <s v="ORD0543"/>
    <x v="272"/>
    <s v="CUST1207"/>
    <s v="Customer 1207"/>
    <s v="Desk"/>
    <x v="2"/>
    <n v="3"/>
    <n v="6000"/>
    <n v="0.15"/>
    <x v="90"/>
    <n v="12070.75"/>
    <n v="3229.25"/>
    <s v="Mumbai"/>
    <x v="0"/>
    <x v="2"/>
    <x v="1"/>
    <x v="0"/>
  </r>
  <r>
    <s v="ORD0544"/>
    <x v="227"/>
    <s v="CUST1134"/>
    <s v="Customer 1134"/>
    <s v="Office Chair"/>
    <x v="2"/>
    <n v="2"/>
    <n v="7500"/>
    <n v="0.1"/>
    <x v="27"/>
    <n v="12563.06"/>
    <n v="936.94"/>
    <s v="Bengaluru"/>
    <x v="4"/>
    <x v="1"/>
    <x v="1"/>
    <x v="0"/>
  </r>
  <r>
    <s v="ORD0545"/>
    <x v="75"/>
    <s v="CUST1243"/>
    <s v="Customer 1243"/>
    <s v="Keyboard"/>
    <x v="0"/>
    <n v="5"/>
    <n v="2200"/>
    <n v="0"/>
    <x v="204"/>
    <n v="9061.35"/>
    <n v="1938.65"/>
    <s v="Mysuru"/>
    <x v="4"/>
    <x v="2"/>
    <x v="2"/>
    <x v="0"/>
  </r>
  <r>
    <s v="ORD0546"/>
    <x v="118"/>
    <s v="CUST1049"/>
    <s v="Customer 1049"/>
    <s v="Desk"/>
    <x v="2"/>
    <n v="5"/>
    <n v="6000"/>
    <n v="0.05"/>
    <x v="205"/>
    <n v="22340.98"/>
    <n v="6159.02"/>
    <s v="Delhi"/>
    <x v="3"/>
    <x v="0"/>
    <x v="3"/>
    <x v="0"/>
  </r>
  <r>
    <s v="ORD0547"/>
    <x v="84"/>
    <s v="CUST1068"/>
    <s v="Customer 1068"/>
    <s v="Jeans"/>
    <x v="3"/>
    <n v="2"/>
    <n v="1800"/>
    <n v="0.15"/>
    <x v="154"/>
    <n v="2405.59"/>
    <n v="654.41"/>
    <s v="Mumbai"/>
    <x v="0"/>
    <x v="0"/>
    <x v="4"/>
    <x v="1"/>
  </r>
  <r>
    <s v="ORD0548"/>
    <x v="203"/>
    <s v="CUST1049"/>
    <s v="Customer 1049"/>
    <s v="Office Chair"/>
    <x v="2"/>
    <n v="3"/>
    <n v="7500"/>
    <n v="0.2"/>
    <x v="103"/>
    <n v="19041.77"/>
    <n v="-1041.77"/>
    <s v="Kolkata"/>
    <x v="5"/>
    <x v="1"/>
    <x v="4"/>
    <x v="0"/>
  </r>
  <r>
    <s v="ORD0549"/>
    <x v="246"/>
    <s v="CUST1180"/>
    <s v="Customer 1180"/>
    <s v="Smartwatch"/>
    <x v="0"/>
    <n v="4"/>
    <n v="4500"/>
    <n v="0.2"/>
    <x v="157"/>
    <n v="14278.2"/>
    <n v="121.8"/>
    <s v="Pune"/>
    <x v="0"/>
    <x v="1"/>
    <x v="1"/>
    <x v="0"/>
  </r>
  <r>
    <s v="ORD0550"/>
    <x v="226"/>
    <s v="CUST1249"/>
    <s v="Customer 1249"/>
    <s v="Backpack"/>
    <x v="5"/>
    <n v="1"/>
    <n v="1400"/>
    <n v="0.2"/>
    <x v="152"/>
    <n v="942.93"/>
    <n v="177.07"/>
    <s v="Hyderabad"/>
    <x v="2"/>
    <x v="2"/>
    <x v="4"/>
    <x v="2"/>
  </r>
  <r>
    <s v="ORD0551"/>
    <x v="152"/>
    <s v="CUST1004"/>
    <s v="Customer 1004"/>
    <s v="Gaming Mouse"/>
    <x v="0"/>
    <n v="1"/>
    <n v="1600"/>
    <n v="0.05"/>
    <x v="70"/>
    <n v="1221.6400000000001"/>
    <n v="298.36"/>
    <s v="Hyderabad"/>
    <x v="2"/>
    <x v="2"/>
    <x v="3"/>
    <x v="0"/>
  </r>
  <r>
    <s v="ORD0552"/>
    <x v="273"/>
    <s v="CUST1085"/>
    <s v="Customer 1085"/>
    <s v="Keyboard"/>
    <x v="0"/>
    <n v="3"/>
    <n v="2200"/>
    <n v="0.15"/>
    <x v="167"/>
    <n v="4411.78"/>
    <n v="1198.22"/>
    <s v="Bengaluru"/>
    <x v="4"/>
    <x v="1"/>
    <x v="2"/>
    <x v="0"/>
  </r>
  <r>
    <s v="ORD0553"/>
    <x v="70"/>
    <s v="CUST1050"/>
    <s v="Customer 1050"/>
    <s v="Book"/>
    <x v="4"/>
    <n v="1"/>
    <n v="450"/>
    <n v="0.2"/>
    <x v="132"/>
    <n v="385.2"/>
    <n v="-25.2"/>
    <s v="Hyderabad"/>
    <x v="2"/>
    <x v="2"/>
    <x v="3"/>
    <x v="0"/>
  </r>
  <r>
    <s v="ORD0554"/>
    <x v="47"/>
    <s v="CUST1189"/>
    <s v="Customer 1189"/>
    <s v="Smartwatch"/>
    <x v="0"/>
    <n v="2"/>
    <n v="4500"/>
    <n v="0.15"/>
    <x v="78"/>
    <n v="7908.69"/>
    <n v="-258.69"/>
    <s v="Mumbai"/>
    <x v="0"/>
    <x v="1"/>
    <x v="3"/>
    <x v="2"/>
  </r>
  <r>
    <s v="ORD0555"/>
    <x v="61"/>
    <s v="CUST1175"/>
    <s v="Customer 1175"/>
    <s v="Smartwatch"/>
    <x v="0"/>
    <n v="5"/>
    <n v="4500"/>
    <n v="0.05"/>
    <x v="100"/>
    <n v="19599.28"/>
    <n v="1775.72"/>
    <s v="Kolkata"/>
    <x v="5"/>
    <x v="2"/>
    <x v="4"/>
    <x v="2"/>
  </r>
  <r>
    <s v="ORD0556"/>
    <x v="103"/>
    <s v="CUST1124"/>
    <s v="Customer 1124"/>
    <s v="Smartphone"/>
    <x v="0"/>
    <n v="5"/>
    <n v="22000"/>
    <n v="0.2"/>
    <x v="185"/>
    <n v="87654.56"/>
    <n v="345.44"/>
    <s v="Pune"/>
    <x v="0"/>
    <x v="1"/>
    <x v="1"/>
    <x v="0"/>
  </r>
  <r>
    <s v="ORD0557"/>
    <x v="183"/>
    <s v="CUST1084"/>
    <s v="Customer 1084"/>
    <s v="T-Shirt"/>
    <x v="3"/>
    <n v="1"/>
    <n v="800"/>
    <n v="0.05"/>
    <x v="206"/>
    <n v="522.77"/>
    <n v="237.23"/>
    <s v="Kolkata"/>
    <x v="5"/>
    <x v="2"/>
    <x v="0"/>
    <x v="0"/>
  </r>
  <r>
    <s v="ORD0558"/>
    <x v="232"/>
    <s v="CUST1177"/>
    <s v="Customer 1177"/>
    <s v="Book"/>
    <x v="4"/>
    <n v="2"/>
    <n v="450"/>
    <n v="0"/>
    <x v="203"/>
    <n v="708.42"/>
    <n v="191.58"/>
    <s v="Mysuru"/>
    <x v="4"/>
    <x v="2"/>
    <x v="2"/>
    <x v="0"/>
  </r>
  <r>
    <s v="ORD0559"/>
    <x v="274"/>
    <s v="CUST1239"/>
    <s v="Customer 1239"/>
    <s v="Shoes"/>
    <x v="3"/>
    <n v="4"/>
    <n v="2800"/>
    <n v="0"/>
    <x v="40"/>
    <n v="9777.82"/>
    <n v="1422.18"/>
    <s v="Delhi"/>
    <x v="3"/>
    <x v="0"/>
    <x v="2"/>
    <x v="0"/>
  </r>
  <r>
    <s v="ORD0560"/>
    <x v="275"/>
    <s v="CUST1125"/>
    <s v="Customer 1125"/>
    <s v="Mixer Grinder"/>
    <x v="1"/>
    <n v="2"/>
    <n v="2800"/>
    <n v="0.2"/>
    <x v="15"/>
    <n v="3939.68"/>
    <n v="540.32000000000005"/>
    <s v="Hyderabad"/>
    <x v="2"/>
    <x v="0"/>
    <x v="1"/>
    <x v="0"/>
  </r>
  <r>
    <s v="ORD0561"/>
    <x v="276"/>
    <s v="CUST1065"/>
    <s v="Customer 1065"/>
    <s v="T-Shirt"/>
    <x v="3"/>
    <n v="1"/>
    <n v="800"/>
    <n v="0.15"/>
    <x v="207"/>
    <n v="685.35"/>
    <n v="-5.35"/>
    <s v="Hyderabad"/>
    <x v="2"/>
    <x v="2"/>
    <x v="3"/>
    <x v="1"/>
  </r>
  <r>
    <s v="ORD0562"/>
    <x v="175"/>
    <s v="CUST1140"/>
    <s v="Customer 1140"/>
    <s v="Desk"/>
    <x v="2"/>
    <n v="5"/>
    <n v="6000"/>
    <n v="0.15"/>
    <x v="166"/>
    <n v="21898.89"/>
    <n v="3601.11"/>
    <s v="Hyderabad"/>
    <x v="2"/>
    <x v="0"/>
    <x v="3"/>
    <x v="0"/>
  </r>
  <r>
    <s v="ORD0563"/>
    <x v="130"/>
    <s v="CUST1076"/>
    <s v="Customer 1076"/>
    <s v="Shoes"/>
    <x v="3"/>
    <n v="1"/>
    <n v="2800"/>
    <n v="0.2"/>
    <x v="85"/>
    <n v="2347.71"/>
    <n v="-107.71"/>
    <s v="Mysuru"/>
    <x v="4"/>
    <x v="0"/>
    <x v="1"/>
    <x v="0"/>
  </r>
  <r>
    <s v="ORD0564"/>
    <x v="277"/>
    <s v="CUST1159"/>
    <s v="Customer 1159"/>
    <s v="Laptop"/>
    <x v="0"/>
    <n v="5"/>
    <n v="55000"/>
    <n v="0.15"/>
    <x v="52"/>
    <n v="232944.45"/>
    <n v="805.55"/>
    <s v="Bengaluru"/>
    <x v="4"/>
    <x v="0"/>
    <x v="4"/>
    <x v="0"/>
  </r>
  <r>
    <s v="ORD0565"/>
    <x v="175"/>
    <s v="CUST1197"/>
    <s v="Customer 1197"/>
    <s v="Headphones"/>
    <x v="0"/>
    <n v="5"/>
    <n v="1800"/>
    <n v="0.15"/>
    <x v="78"/>
    <n v="6991.54"/>
    <n v="658.46"/>
    <s v="Mysuru"/>
    <x v="4"/>
    <x v="0"/>
    <x v="1"/>
    <x v="0"/>
  </r>
  <r>
    <s v="ORD0566"/>
    <x v="258"/>
    <s v="CUST1012"/>
    <s v="Customer 1012"/>
    <s v="Study Table Lamp"/>
    <x v="1"/>
    <n v="3"/>
    <n v="1200"/>
    <n v="0"/>
    <x v="25"/>
    <n v="3031.54"/>
    <n v="568.46"/>
    <s v="Chennai"/>
    <x v="1"/>
    <x v="1"/>
    <x v="4"/>
    <x v="0"/>
  </r>
  <r>
    <s v="ORD0567"/>
    <x v="278"/>
    <s v="CUST1009"/>
    <s v="Customer 1009"/>
    <s v="T-Shirt"/>
    <x v="3"/>
    <n v="1"/>
    <n v="800"/>
    <n v="0.15"/>
    <x v="207"/>
    <n v="625.07000000000005"/>
    <n v="54.93"/>
    <s v="Chennai"/>
    <x v="1"/>
    <x v="2"/>
    <x v="3"/>
    <x v="1"/>
  </r>
  <r>
    <s v="ORD0568"/>
    <x v="279"/>
    <s v="CUST1004"/>
    <s v="Customer 1004"/>
    <s v="Office Chair"/>
    <x v="2"/>
    <n v="1"/>
    <n v="7500"/>
    <n v="0.1"/>
    <x v="79"/>
    <n v="6479.61"/>
    <n v="270.39"/>
    <s v="Chennai"/>
    <x v="1"/>
    <x v="1"/>
    <x v="3"/>
    <x v="0"/>
  </r>
  <r>
    <s v="ORD0569"/>
    <x v="99"/>
    <s v="CUST1211"/>
    <s v="Customer 1211"/>
    <s v="Gaming Mouse"/>
    <x v="0"/>
    <n v="1"/>
    <n v="1600"/>
    <n v="0.1"/>
    <x v="95"/>
    <n v="1175.82"/>
    <n v="264.18"/>
    <s v="Kolkata"/>
    <x v="5"/>
    <x v="0"/>
    <x v="2"/>
    <x v="1"/>
  </r>
  <r>
    <s v="ORD0570"/>
    <x v="21"/>
    <s v="CUST1020"/>
    <s v="Customer 1020"/>
    <s v="Office Chair"/>
    <x v="2"/>
    <n v="5"/>
    <n v="7500"/>
    <n v="0"/>
    <x v="61"/>
    <n v="32522.21"/>
    <n v="4977.79"/>
    <s v="Pune"/>
    <x v="0"/>
    <x v="0"/>
    <x v="2"/>
    <x v="0"/>
  </r>
  <r>
    <s v="ORD0571"/>
    <x v="175"/>
    <s v="CUST1135"/>
    <s v="Customer 1135"/>
    <s v="Jeans"/>
    <x v="3"/>
    <n v="5"/>
    <n v="1800"/>
    <n v="0.15"/>
    <x v="78"/>
    <n v="7209.73"/>
    <n v="440.27"/>
    <s v="Mumbai"/>
    <x v="0"/>
    <x v="0"/>
    <x v="4"/>
    <x v="1"/>
  </r>
  <r>
    <s v="ORD0572"/>
    <x v="276"/>
    <s v="CUST1180"/>
    <s v="Customer 1180"/>
    <s v="Study Table Lamp"/>
    <x v="1"/>
    <n v="1"/>
    <n v="1200"/>
    <n v="0.2"/>
    <x v="41"/>
    <n v="963.61"/>
    <n v="-3.61"/>
    <s v="Mysuru"/>
    <x v="4"/>
    <x v="1"/>
    <x v="4"/>
    <x v="0"/>
  </r>
  <r>
    <s v="ORD0573"/>
    <x v="280"/>
    <s v="CUST1137"/>
    <s v="Customer 1137"/>
    <s v="Book"/>
    <x v="4"/>
    <n v="5"/>
    <n v="450"/>
    <n v="0.1"/>
    <x v="140"/>
    <n v="1979.19"/>
    <n v="45.81"/>
    <s v="Hyderabad"/>
    <x v="2"/>
    <x v="2"/>
    <x v="1"/>
    <x v="0"/>
  </r>
  <r>
    <s v="ORD0574"/>
    <x v="183"/>
    <s v="CUST1212"/>
    <s v="Customer 1212"/>
    <s v="Coffee Maker"/>
    <x v="1"/>
    <n v="3"/>
    <n v="3500"/>
    <n v="0.15"/>
    <x v="146"/>
    <n v="8577.9699999999993"/>
    <n v="347.03"/>
    <s v="Kolkata"/>
    <x v="5"/>
    <x v="0"/>
    <x v="4"/>
    <x v="1"/>
  </r>
  <r>
    <s v="ORD0575"/>
    <x v="260"/>
    <s v="CUST1247"/>
    <s v="Customer 1247"/>
    <s v="T-Shirt"/>
    <x v="3"/>
    <n v="4"/>
    <n v="800"/>
    <n v="0.2"/>
    <x v="123"/>
    <n v="2412.9699999999998"/>
    <n v="147.03"/>
    <s v="Delhi"/>
    <x v="3"/>
    <x v="2"/>
    <x v="2"/>
    <x v="2"/>
  </r>
  <r>
    <s v="ORD0576"/>
    <x v="253"/>
    <s v="CUST1228"/>
    <s v="Customer 1228"/>
    <s v="Smartphone"/>
    <x v="0"/>
    <n v="3"/>
    <n v="22000"/>
    <n v="0.2"/>
    <x v="34"/>
    <n v="47481.96"/>
    <n v="5318.04"/>
    <s v="Hyderabad"/>
    <x v="2"/>
    <x v="2"/>
    <x v="4"/>
    <x v="0"/>
  </r>
  <r>
    <s v="ORD0577"/>
    <x v="69"/>
    <s v="CUST1025"/>
    <s v="Customer 1025"/>
    <s v="Coffee Maker"/>
    <x v="1"/>
    <n v="1"/>
    <n v="3500"/>
    <n v="0.1"/>
    <x v="42"/>
    <n v="2305.38"/>
    <n v="844.62"/>
    <s v="Hyderabad"/>
    <x v="2"/>
    <x v="2"/>
    <x v="4"/>
    <x v="0"/>
  </r>
  <r>
    <s v="ORD0578"/>
    <x v="221"/>
    <s v="CUST1066"/>
    <s v="Customer 1066"/>
    <s v="Office Chair"/>
    <x v="2"/>
    <n v="3"/>
    <n v="7500"/>
    <n v="0.2"/>
    <x v="103"/>
    <n v="18822.310000000001"/>
    <n v="-822.31"/>
    <s v="Mumbai"/>
    <x v="0"/>
    <x v="1"/>
    <x v="0"/>
    <x v="0"/>
  </r>
  <r>
    <s v="ORD0579"/>
    <x v="65"/>
    <s v="CUST1125"/>
    <s v="Customer 1125"/>
    <s v="T-Shirt"/>
    <x v="3"/>
    <n v="1"/>
    <n v="800"/>
    <n v="0.1"/>
    <x v="137"/>
    <n v="671.93"/>
    <n v="48.07"/>
    <s v="Hyderabad"/>
    <x v="2"/>
    <x v="0"/>
    <x v="0"/>
    <x v="0"/>
  </r>
  <r>
    <s v="ORD0580"/>
    <x v="92"/>
    <s v="CUST1200"/>
    <s v="Customer 1200"/>
    <s v="Desk"/>
    <x v="2"/>
    <n v="1"/>
    <n v="6000"/>
    <n v="0.2"/>
    <x v="19"/>
    <n v="3977.17"/>
    <n v="822.83"/>
    <s v="Chennai"/>
    <x v="1"/>
    <x v="2"/>
    <x v="1"/>
    <x v="0"/>
  </r>
  <r>
    <s v="ORD0581"/>
    <x v="204"/>
    <s v="CUST1163"/>
    <s v="Customer 1163"/>
    <s v="Study Table Lamp"/>
    <x v="1"/>
    <n v="1"/>
    <n v="1200"/>
    <n v="0.05"/>
    <x v="75"/>
    <n v="994.57"/>
    <n v="145.43"/>
    <s v="Bengaluru"/>
    <x v="4"/>
    <x v="2"/>
    <x v="2"/>
    <x v="0"/>
  </r>
  <r>
    <s v="ORD0582"/>
    <x v="115"/>
    <s v="CUST1084"/>
    <s v="Customer 1084"/>
    <s v="Smartphone"/>
    <x v="0"/>
    <n v="3"/>
    <n v="22000"/>
    <n v="0.2"/>
    <x v="34"/>
    <n v="50526.46"/>
    <n v="2273.54"/>
    <s v="Hyderabad"/>
    <x v="2"/>
    <x v="1"/>
    <x v="4"/>
    <x v="0"/>
  </r>
  <r>
    <s v="ORD0583"/>
    <x v="264"/>
    <s v="CUST1057"/>
    <s v="Customer 1057"/>
    <s v="Book"/>
    <x v="4"/>
    <n v="4"/>
    <n v="450"/>
    <n v="0.2"/>
    <x v="95"/>
    <n v="1348.82"/>
    <n v="91.18"/>
    <s v="Chennai"/>
    <x v="1"/>
    <x v="2"/>
    <x v="4"/>
    <x v="0"/>
  </r>
  <r>
    <s v="ORD0584"/>
    <x v="231"/>
    <s v="CUST1141"/>
    <s v="Customer 1141"/>
    <s v="Coffee Maker"/>
    <x v="1"/>
    <n v="1"/>
    <n v="3500"/>
    <n v="0.15"/>
    <x v="102"/>
    <n v="2596.35"/>
    <n v="378.65"/>
    <s v="Bengaluru"/>
    <x v="4"/>
    <x v="1"/>
    <x v="3"/>
    <x v="1"/>
  </r>
  <r>
    <s v="ORD0585"/>
    <x v="98"/>
    <s v="CUST1125"/>
    <s v="Customer 1125"/>
    <s v="Study Table Lamp"/>
    <x v="1"/>
    <n v="2"/>
    <n v="1200"/>
    <n v="0.05"/>
    <x v="172"/>
    <n v="1778.22"/>
    <n v="501.78"/>
    <s v="Mumbai"/>
    <x v="0"/>
    <x v="0"/>
    <x v="4"/>
    <x v="1"/>
  </r>
  <r>
    <s v="ORD0586"/>
    <x v="281"/>
    <s v="CUST1083"/>
    <s v="Customer 1083"/>
    <s v="Jeans"/>
    <x v="3"/>
    <n v="2"/>
    <n v="1800"/>
    <n v="0"/>
    <x v="25"/>
    <n v="2906.96"/>
    <n v="693.04"/>
    <s v="Kolkata"/>
    <x v="5"/>
    <x v="0"/>
    <x v="2"/>
    <x v="0"/>
  </r>
  <r>
    <s v="ORD0587"/>
    <x v="282"/>
    <s v="CUST1083"/>
    <s v="Customer 1083"/>
    <s v="Study Table Lamp"/>
    <x v="1"/>
    <n v="4"/>
    <n v="1200"/>
    <n v="0.1"/>
    <x v="37"/>
    <n v="3500.36"/>
    <n v="819.64"/>
    <s v="Mumbai"/>
    <x v="0"/>
    <x v="0"/>
    <x v="2"/>
    <x v="0"/>
  </r>
  <r>
    <s v="ORD0588"/>
    <x v="47"/>
    <s v="CUST1113"/>
    <s v="Customer 1113"/>
    <s v="Shoes"/>
    <x v="3"/>
    <n v="3"/>
    <n v="2800"/>
    <n v="0.2"/>
    <x v="130"/>
    <n v="5546.7"/>
    <n v="1173.3"/>
    <s v="Hyderabad"/>
    <x v="2"/>
    <x v="1"/>
    <x v="4"/>
    <x v="2"/>
  </r>
  <r>
    <s v="ORD0589"/>
    <x v="283"/>
    <s v="CUST1063"/>
    <s v="Customer 1063"/>
    <s v="Mixer Grinder"/>
    <x v="1"/>
    <n v="2"/>
    <n v="2800"/>
    <n v="0"/>
    <x v="56"/>
    <n v="4862.24"/>
    <n v="737.76"/>
    <s v="Bengaluru"/>
    <x v="4"/>
    <x v="1"/>
    <x v="1"/>
    <x v="0"/>
  </r>
  <r>
    <s v="ORD0590"/>
    <x v="66"/>
    <s v="CUST1006"/>
    <s v="Customer 1006"/>
    <s v="Coffee Maker"/>
    <x v="1"/>
    <n v="1"/>
    <n v="3500"/>
    <n v="0.1"/>
    <x v="42"/>
    <n v="2542.16"/>
    <n v="607.84"/>
    <s v="Mysuru"/>
    <x v="4"/>
    <x v="0"/>
    <x v="0"/>
    <x v="0"/>
  </r>
  <r>
    <s v="ORD0591"/>
    <x v="218"/>
    <s v="CUST1160"/>
    <s v="Customer 1160"/>
    <s v="T-Shirt"/>
    <x v="3"/>
    <n v="5"/>
    <n v="800"/>
    <n v="0.2"/>
    <x v="158"/>
    <n v="3271.53"/>
    <n v="-71.53"/>
    <s v="Mysuru"/>
    <x v="4"/>
    <x v="1"/>
    <x v="2"/>
    <x v="0"/>
  </r>
  <r>
    <s v="ORD0592"/>
    <x v="206"/>
    <s v="CUST1052"/>
    <s v="Customer 1052"/>
    <s v="Smartphone"/>
    <x v="0"/>
    <n v="3"/>
    <n v="22000"/>
    <n v="0.05"/>
    <x v="94"/>
    <n v="54879.88"/>
    <n v="7820.12"/>
    <s v="Pune"/>
    <x v="0"/>
    <x v="0"/>
    <x v="1"/>
    <x v="0"/>
  </r>
  <r>
    <s v="ORD0593"/>
    <x v="225"/>
    <s v="CUST1170"/>
    <s v="Customer 1170"/>
    <s v="Gaming Mouse"/>
    <x v="0"/>
    <n v="1"/>
    <n v="1600"/>
    <n v="0"/>
    <x v="45"/>
    <n v="1353.57"/>
    <n v="246.43"/>
    <s v="Pune"/>
    <x v="0"/>
    <x v="0"/>
    <x v="1"/>
    <x v="0"/>
  </r>
  <r>
    <s v="ORD0594"/>
    <x v="53"/>
    <s v="CUST1131"/>
    <s v="Customer 1131"/>
    <s v="Laptop"/>
    <x v="0"/>
    <n v="3"/>
    <n v="55000"/>
    <n v="0.15"/>
    <x v="138"/>
    <n v="144312.42000000001"/>
    <n v="-4062.42"/>
    <s v="Kolkata"/>
    <x v="5"/>
    <x v="1"/>
    <x v="1"/>
    <x v="0"/>
  </r>
  <r>
    <s v="ORD0595"/>
    <x v="158"/>
    <s v="CUST1144"/>
    <s v="Customer 1144"/>
    <s v="Headphones"/>
    <x v="0"/>
    <n v="2"/>
    <n v="1800"/>
    <n v="0.05"/>
    <x v="51"/>
    <n v="3107.02"/>
    <n v="312.98"/>
    <s v="Mysuru"/>
    <x v="4"/>
    <x v="1"/>
    <x v="2"/>
    <x v="0"/>
  </r>
  <r>
    <s v="ORD0596"/>
    <x v="284"/>
    <s v="CUST1005"/>
    <s v="Customer 1005"/>
    <s v="Desk"/>
    <x v="2"/>
    <n v="3"/>
    <n v="6000"/>
    <n v="0.15"/>
    <x v="90"/>
    <n v="13135.67"/>
    <n v="2164.33"/>
    <s v="Hyderabad"/>
    <x v="2"/>
    <x v="2"/>
    <x v="1"/>
    <x v="2"/>
  </r>
  <r>
    <s v="ORD0597"/>
    <x v="285"/>
    <s v="CUST1161"/>
    <s v="Customer 1161"/>
    <s v="Desk"/>
    <x v="2"/>
    <n v="2"/>
    <n v="6000"/>
    <n v="0.2"/>
    <x v="145"/>
    <n v="8511.2000000000007"/>
    <n v="1088.8"/>
    <s v="Bengaluru"/>
    <x v="4"/>
    <x v="2"/>
    <x v="2"/>
    <x v="1"/>
  </r>
  <r>
    <s v="ORD0598"/>
    <x v="265"/>
    <s v="CUST1169"/>
    <s v="Customer 1169"/>
    <s v="Office Chair"/>
    <x v="2"/>
    <n v="2"/>
    <n v="7500"/>
    <n v="0.05"/>
    <x v="2"/>
    <n v="10223.549999999999"/>
    <n v="4026.45"/>
    <s v="Kolkata"/>
    <x v="5"/>
    <x v="0"/>
    <x v="3"/>
    <x v="1"/>
  </r>
  <r>
    <s v="ORD0599"/>
    <x v="113"/>
    <s v="CUST1110"/>
    <s v="Customer 1110"/>
    <s v="Jeans"/>
    <x v="3"/>
    <n v="4"/>
    <n v="1800"/>
    <n v="0.05"/>
    <x v="53"/>
    <n v="6287.21"/>
    <n v="552.79"/>
    <s v="Hyderabad"/>
    <x v="2"/>
    <x v="0"/>
    <x v="1"/>
    <x v="0"/>
  </r>
  <r>
    <s v="ORD0600"/>
    <x v="41"/>
    <s v="CUST1221"/>
    <s v="Customer 1221"/>
    <s v="Backpack"/>
    <x v="5"/>
    <n v="2"/>
    <n v="1400"/>
    <n v="0.05"/>
    <x v="29"/>
    <n v="1908.94"/>
    <n v="751.06"/>
    <s v="Mumbai"/>
    <x v="0"/>
    <x v="0"/>
    <x v="0"/>
    <x v="0"/>
  </r>
  <r>
    <s v="ORD0601"/>
    <x v="116"/>
    <s v="CUST1018"/>
    <s v="Customer 1018"/>
    <s v="Study Table Lamp"/>
    <x v="1"/>
    <n v="2"/>
    <n v="1200"/>
    <n v="0.2"/>
    <x v="76"/>
    <n v="1867.65"/>
    <n v="52.35"/>
    <s v="Delhi"/>
    <x v="3"/>
    <x v="0"/>
    <x v="2"/>
    <x v="0"/>
  </r>
  <r>
    <s v="ORD0602"/>
    <x v="173"/>
    <s v="CUST1247"/>
    <s v="Customer 1247"/>
    <s v="Coffee Maker"/>
    <x v="1"/>
    <n v="2"/>
    <n v="3500"/>
    <n v="0"/>
    <x v="108"/>
    <n v="5212.12"/>
    <n v="1787.88"/>
    <s v="Kolkata"/>
    <x v="5"/>
    <x v="2"/>
    <x v="1"/>
    <x v="0"/>
  </r>
  <r>
    <s v="ORD0603"/>
    <x v="277"/>
    <s v="CUST1196"/>
    <s v="Customer 1196"/>
    <s v="T-Shirt"/>
    <x v="3"/>
    <n v="1"/>
    <n v="800"/>
    <n v="0.05"/>
    <x v="206"/>
    <n v="701.42"/>
    <n v="58.58"/>
    <s v="Bengaluru"/>
    <x v="4"/>
    <x v="0"/>
    <x v="1"/>
    <x v="1"/>
  </r>
  <r>
    <s v="ORD0604"/>
    <x v="53"/>
    <s v="CUST1092"/>
    <s v="Customer 1092"/>
    <s v="Jeans"/>
    <x v="3"/>
    <n v="5"/>
    <n v="1800"/>
    <n v="0.05"/>
    <x v="8"/>
    <n v="6014.51"/>
    <n v="2535.4899999999998"/>
    <s v="Bengaluru"/>
    <x v="4"/>
    <x v="2"/>
    <x v="4"/>
    <x v="1"/>
  </r>
  <r>
    <s v="ORD0605"/>
    <x v="225"/>
    <s v="CUST1122"/>
    <s v="Customer 1122"/>
    <s v="Keyboard"/>
    <x v="0"/>
    <n v="3"/>
    <n v="2200"/>
    <n v="0.05"/>
    <x v="89"/>
    <n v="4498.74"/>
    <n v="1771.26"/>
    <s v="Mysuru"/>
    <x v="4"/>
    <x v="1"/>
    <x v="4"/>
    <x v="0"/>
  </r>
  <r>
    <s v="ORD0606"/>
    <x v="163"/>
    <s v="CUST1191"/>
    <s v="Customer 1191"/>
    <s v="Study Table Lamp"/>
    <x v="1"/>
    <n v="1"/>
    <n v="1200"/>
    <n v="0.1"/>
    <x v="101"/>
    <n v="965.29"/>
    <n v="114.71"/>
    <s v="Mumbai"/>
    <x v="0"/>
    <x v="1"/>
    <x v="4"/>
    <x v="0"/>
  </r>
  <r>
    <s v="ORD0607"/>
    <x v="102"/>
    <s v="CUST1222"/>
    <s v="Customer 1222"/>
    <s v="Shoes"/>
    <x v="3"/>
    <n v="4"/>
    <n v="2800"/>
    <n v="0.2"/>
    <x v="63"/>
    <n v="8458.64"/>
    <n v="501.36"/>
    <s v="Delhi"/>
    <x v="3"/>
    <x v="1"/>
    <x v="3"/>
    <x v="0"/>
  </r>
  <r>
    <s v="ORD0608"/>
    <x v="120"/>
    <s v="CUST1157"/>
    <s v="Customer 1157"/>
    <s v="Smartphone"/>
    <x v="0"/>
    <n v="5"/>
    <n v="22000"/>
    <n v="0.15"/>
    <x v="122"/>
    <n v="95260.22"/>
    <n v="-1760.22"/>
    <s v="Kolkata"/>
    <x v="5"/>
    <x v="0"/>
    <x v="0"/>
    <x v="1"/>
  </r>
  <r>
    <s v="ORD0609"/>
    <x v="246"/>
    <s v="CUST1212"/>
    <s v="Customer 1212"/>
    <s v="Smartphone"/>
    <x v="0"/>
    <n v="5"/>
    <n v="22000"/>
    <n v="0"/>
    <x v="82"/>
    <n v="93707.5"/>
    <n v="16292.5"/>
    <s v="Mysuru"/>
    <x v="4"/>
    <x v="1"/>
    <x v="0"/>
    <x v="1"/>
  </r>
  <r>
    <s v="ORD0610"/>
    <x v="225"/>
    <s v="CUST1049"/>
    <s v="Customer 1049"/>
    <s v="Book"/>
    <x v="4"/>
    <n v="1"/>
    <n v="450"/>
    <n v="0.2"/>
    <x v="132"/>
    <n v="322.64"/>
    <n v="37.36"/>
    <s v="Bengaluru"/>
    <x v="4"/>
    <x v="2"/>
    <x v="1"/>
    <x v="0"/>
  </r>
  <r>
    <s v="ORD0611"/>
    <x v="14"/>
    <s v="CUST1177"/>
    <s v="Customer 1177"/>
    <s v="Gaming Mouse"/>
    <x v="0"/>
    <n v="2"/>
    <n v="1600"/>
    <n v="0.15"/>
    <x v="46"/>
    <n v="2460.4899999999998"/>
    <n v="259.51"/>
    <s v="Bengaluru"/>
    <x v="4"/>
    <x v="1"/>
    <x v="3"/>
    <x v="2"/>
  </r>
  <r>
    <s v="ORD0612"/>
    <x v="283"/>
    <s v="CUST1200"/>
    <s v="Customer 1200"/>
    <s v="Gaming Mouse"/>
    <x v="0"/>
    <n v="1"/>
    <n v="1600"/>
    <n v="0.2"/>
    <x v="20"/>
    <n v="1255.44"/>
    <n v="24.56"/>
    <s v="Hyderabad"/>
    <x v="2"/>
    <x v="0"/>
    <x v="0"/>
    <x v="0"/>
  </r>
  <r>
    <s v="ORD0613"/>
    <x v="66"/>
    <s v="CUST1046"/>
    <s v="Customer 1046"/>
    <s v="Book"/>
    <x v="4"/>
    <n v="4"/>
    <n v="450"/>
    <n v="0.1"/>
    <x v="17"/>
    <n v="1357.82"/>
    <n v="262.18"/>
    <s v="Bengaluru"/>
    <x v="4"/>
    <x v="0"/>
    <x v="4"/>
    <x v="0"/>
  </r>
  <r>
    <s v="ORD0614"/>
    <x v="143"/>
    <s v="CUST1184"/>
    <s v="Customer 1184"/>
    <s v="Headphones"/>
    <x v="0"/>
    <n v="3"/>
    <n v="1800"/>
    <n v="0.1"/>
    <x v="38"/>
    <n v="4420.71"/>
    <n v="439.29"/>
    <s v="Hyderabad"/>
    <x v="2"/>
    <x v="1"/>
    <x v="2"/>
    <x v="2"/>
  </r>
  <r>
    <s v="ORD0615"/>
    <x v="165"/>
    <s v="CUST1187"/>
    <s v="Customer 1187"/>
    <s v="Gaming Mouse"/>
    <x v="0"/>
    <n v="3"/>
    <n v="1600"/>
    <n v="0"/>
    <x v="19"/>
    <n v="3993.34"/>
    <n v="806.66"/>
    <s v="Kolkata"/>
    <x v="5"/>
    <x v="0"/>
    <x v="0"/>
    <x v="0"/>
  </r>
  <r>
    <s v="ORD0616"/>
    <x v="85"/>
    <s v="CUST1234"/>
    <s v="Customer 1234"/>
    <s v="Book"/>
    <x v="4"/>
    <n v="5"/>
    <n v="450"/>
    <n v="0.15"/>
    <x v="12"/>
    <n v="1635.96"/>
    <n v="276.54000000000002"/>
    <s v="Hyderabad"/>
    <x v="2"/>
    <x v="0"/>
    <x v="4"/>
    <x v="0"/>
  </r>
  <r>
    <s v="ORD0617"/>
    <x v="133"/>
    <s v="CUST1080"/>
    <s v="Customer 1080"/>
    <s v="Backpack"/>
    <x v="5"/>
    <n v="2"/>
    <n v="1400"/>
    <n v="0"/>
    <x v="109"/>
    <n v="2290.2199999999998"/>
    <n v="509.78"/>
    <s v="Pune"/>
    <x v="0"/>
    <x v="2"/>
    <x v="1"/>
    <x v="2"/>
  </r>
  <r>
    <s v="ORD0618"/>
    <x v="242"/>
    <s v="CUST1160"/>
    <s v="Customer 1160"/>
    <s v="Shoes"/>
    <x v="3"/>
    <n v="1"/>
    <n v="2800"/>
    <n v="0.05"/>
    <x v="29"/>
    <n v="2312.91"/>
    <n v="347.09"/>
    <s v="Bengaluru"/>
    <x v="4"/>
    <x v="1"/>
    <x v="3"/>
    <x v="0"/>
  </r>
  <r>
    <s v="ORD0619"/>
    <x v="145"/>
    <s v="CUST1061"/>
    <s v="Customer 1061"/>
    <s v="Keyboard"/>
    <x v="0"/>
    <n v="5"/>
    <n v="2200"/>
    <n v="0"/>
    <x v="204"/>
    <n v="7698.69"/>
    <n v="3301.31"/>
    <s v="Mysuru"/>
    <x v="4"/>
    <x v="0"/>
    <x v="3"/>
    <x v="0"/>
  </r>
  <r>
    <s v="ORD0620"/>
    <x v="286"/>
    <s v="CUST1063"/>
    <s v="Customer 1063"/>
    <s v="Study Table Lamp"/>
    <x v="1"/>
    <n v="4"/>
    <n v="1200"/>
    <n v="0"/>
    <x v="19"/>
    <n v="4093.91"/>
    <n v="706.09"/>
    <s v="Bengaluru"/>
    <x v="4"/>
    <x v="2"/>
    <x v="0"/>
    <x v="2"/>
  </r>
  <r>
    <s v="ORD0621"/>
    <x v="104"/>
    <s v="CUST1168"/>
    <s v="Customer 1168"/>
    <s v="T-Shirt"/>
    <x v="3"/>
    <n v="1"/>
    <n v="800"/>
    <n v="0.05"/>
    <x v="206"/>
    <n v="584.22"/>
    <n v="175.78"/>
    <s v="Bengaluru"/>
    <x v="4"/>
    <x v="1"/>
    <x v="2"/>
    <x v="2"/>
  </r>
  <r>
    <s v="ORD0622"/>
    <x v="25"/>
    <s v="CUST1107"/>
    <s v="Customer 1107"/>
    <s v="Desk"/>
    <x v="2"/>
    <n v="3"/>
    <n v="6000"/>
    <n v="0"/>
    <x v="103"/>
    <n v="15814.06"/>
    <n v="2185.94"/>
    <s v="Chennai"/>
    <x v="1"/>
    <x v="1"/>
    <x v="1"/>
    <x v="1"/>
  </r>
  <r>
    <s v="ORD0623"/>
    <x v="190"/>
    <s v="CUST1024"/>
    <s v="Customer 1024"/>
    <s v="Shoes"/>
    <x v="3"/>
    <n v="4"/>
    <n v="2800"/>
    <n v="0.2"/>
    <x v="63"/>
    <n v="9259.69"/>
    <n v="-299.69"/>
    <s v="Bengaluru"/>
    <x v="4"/>
    <x v="2"/>
    <x v="1"/>
    <x v="0"/>
  </r>
  <r>
    <s v="ORD0624"/>
    <x v="287"/>
    <s v="CUST1121"/>
    <s v="Customer 1121"/>
    <s v="Headphones"/>
    <x v="0"/>
    <n v="4"/>
    <n v="1800"/>
    <n v="0.2"/>
    <x v="106"/>
    <n v="4902.8100000000004"/>
    <n v="857.19"/>
    <s v="Pune"/>
    <x v="0"/>
    <x v="0"/>
    <x v="1"/>
    <x v="0"/>
  </r>
  <r>
    <s v="ORD0625"/>
    <x v="273"/>
    <s v="CUST1157"/>
    <s v="Customer 1157"/>
    <s v="Study Table Lamp"/>
    <x v="1"/>
    <n v="5"/>
    <n v="1200"/>
    <n v="0.05"/>
    <x v="67"/>
    <n v="3980.29"/>
    <n v="1719.71"/>
    <s v="Mumbai"/>
    <x v="0"/>
    <x v="0"/>
    <x v="0"/>
    <x v="0"/>
  </r>
  <r>
    <s v="ORD0626"/>
    <x v="110"/>
    <s v="CUST1067"/>
    <s v="Customer 1067"/>
    <s v="Keyboard"/>
    <x v="0"/>
    <n v="5"/>
    <n v="2200"/>
    <n v="0.1"/>
    <x v="174"/>
    <n v="8479.24"/>
    <n v="1420.76"/>
    <s v="Delhi"/>
    <x v="3"/>
    <x v="0"/>
    <x v="1"/>
    <x v="0"/>
  </r>
  <r>
    <s v="ORD0627"/>
    <x v="288"/>
    <s v="CUST1227"/>
    <s v="Customer 1227"/>
    <s v="Keyboard"/>
    <x v="0"/>
    <n v="5"/>
    <n v="2200"/>
    <n v="0.15"/>
    <x v="208"/>
    <n v="8691.7999999999993"/>
    <n v="658.2"/>
    <s v="Hyderabad"/>
    <x v="2"/>
    <x v="0"/>
    <x v="1"/>
    <x v="0"/>
  </r>
  <r>
    <s v="ORD0628"/>
    <x v="54"/>
    <s v="CUST1189"/>
    <s v="Customer 1189"/>
    <s v="Laptop"/>
    <x v="0"/>
    <n v="1"/>
    <n v="55000"/>
    <n v="0"/>
    <x v="191"/>
    <n v="46478.080000000002"/>
    <n v="8521.92"/>
    <s v="Chennai"/>
    <x v="1"/>
    <x v="0"/>
    <x v="3"/>
    <x v="0"/>
  </r>
  <r>
    <s v="ORD0629"/>
    <x v="261"/>
    <s v="CUST1003"/>
    <s v="Customer 1003"/>
    <s v="Smartphone"/>
    <x v="0"/>
    <n v="3"/>
    <n v="22000"/>
    <n v="0.1"/>
    <x v="209"/>
    <n v="52624.59"/>
    <n v="6775.41"/>
    <s v="Mumbai"/>
    <x v="0"/>
    <x v="0"/>
    <x v="1"/>
    <x v="0"/>
  </r>
  <r>
    <s v="ORD0630"/>
    <x v="44"/>
    <s v="CUST1197"/>
    <s v="Customer 1197"/>
    <s v="Headphones"/>
    <x v="0"/>
    <n v="3"/>
    <n v="1800"/>
    <n v="0.1"/>
    <x v="38"/>
    <n v="3517.62"/>
    <n v="1342.38"/>
    <s v="Delhi"/>
    <x v="3"/>
    <x v="0"/>
    <x v="1"/>
    <x v="0"/>
  </r>
  <r>
    <s v="ORD0631"/>
    <x v="114"/>
    <s v="CUST1050"/>
    <s v="Customer 1050"/>
    <s v="Book"/>
    <x v="4"/>
    <n v="5"/>
    <n v="450"/>
    <n v="0.2"/>
    <x v="3"/>
    <n v="1633.54"/>
    <n v="166.46"/>
    <s v="Hyderabad"/>
    <x v="2"/>
    <x v="2"/>
    <x v="3"/>
    <x v="0"/>
  </r>
  <r>
    <s v="ORD0632"/>
    <x v="130"/>
    <s v="CUST1229"/>
    <s v="Customer 1229"/>
    <s v="Smartphone"/>
    <x v="0"/>
    <n v="2"/>
    <n v="22000"/>
    <n v="0.15"/>
    <x v="210"/>
    <n v="37356.07"/>
    <n v="43.93"/>
    <s v="Mysuru"/>
    <x v="4"/>
    <x v="2"/>
    <x v="3"/>
    <x v="0"/>
  </r>
  <r>
    <s v="ORD0633"/>
    <x v="115"/>
    <s v="CUST1143"/>
    <s v="Customer 1143"/>
    <s v="Smartphone"/>
    <x v="0"/>
    <n v="5"/>
    <n v="22000"/>
    <n v="0.1"/>
    <x v="97"/>
    <n v="85057.9"/>
    <n v="13942.1"/>
    <s v="Delhi"/>
    <x v="3"/>
    <x v="1"/>
    <x v="0"/>
    <x v="2"/>
  </r>
  <r>
    <s v="ORD0634"/>
    <x v="220"/>
    <s v="CUST1216"/>
    <s v="Customer 1216"/>
    <s v="Coffee Maker"/>
    <x v="1"/>
    <n v="3"/>
    <n v="3500"/>
    <n v="0"/>
    <x v="211"/>
    <n v="6900.28"/>
    <n v="3599.72"/>
    <s v="Pune"/>
    <x v="0"/>
    <x v="2"/>
    <x v="0"/>
    <x v="0"/>
  </r>
  <r>
    <s v="ORD0635"/>
    <x v="79"/>
    <s v="CUST1181"/>
    <s v="Customer 1181"/>
    <s v="Book"/>
    <x v="4"/>
    <n v="2"/>
    <n v="450"/>
    <n v="0.2"/>
    <x v="137"/>
    <n v="762.57"/>
    <n v="-42.57"/>
    <s v="Pune"/>
    <x v="0"/>
    <x v="0"/>
    <x v="2"/>
    <x v="0"/>
  </r>
  <r>
    <s v="ORD0636"/>
    <x v="137"/>
    <s v="CUST1116"/>
    <s v="Customer 1116"/>
    <s v="Study Table Lamp"/>
    <x v="1"/>
    <n v="1"/>
    <n v="1200"/>
    <n v="0.15"/>
    <x v="120"/>
    <n v="1008.93"/>
    <n v="11.07"/>
    <s v="Delhi"/>
    <x v="3"/>
    <x v="2"/>
    <x v="4"/>
    <x v="1"/>
  </r>
  <r>
    <s v="ORD0637"/>
    <x v="235"/>
    <s v="CUST1200"/>
    <s v="Customer 1200"/>
    <s v="Desk"/>
    <x v="2"/>
    <n v="2"/>
    <n v="6000"/>
    <n v="0"/>
    <x v="16"/>
    <n v="8357.7900000000009"/>
    <n v="3642.21"/>
    <s v="Bengaluru"/>
    <x v="4"/>
    <x v="1"/>
    <x v="3"/>
    <x v="1"/>
  </r>
  <r>
    <s v="ORD0638"/>
    <x v="3"/>
    <s v="CUST1088"/>
    <s v="Customer 1088"/>
    <s v="Laptop"/>
    <x v="0"/>
    <n v="4"/>
    <n v="55000"/>
    <n v="0.2"/>
    <x v="212"/>
    <n v="189736.02"/>
    <n v="-13736.02"/>
    <s v="Mumbai"/>
    <x v="0"/>
    <x v="0"/>
    <x v="0"/>
    <x v="0"/>
  </r>
  <r>
    <s v="ORD0639"/>
    <x v="67"/>
    <s v="CUST1053"/>
    <s v="Customer 1053"/>
    <s v="Coffee Maker"/>
    <x v="1"/>
    <n v="2"/>
    <n v="3500"/>
    <n v="0"/>
    <x v="108"/>
    <n v="5716.56"/>
    <n v="1283.44"/>
    <s v="Hyderabad"/>
    <x v="2"/>
    <x v="2"/>
    <x v="3"/>
    <x v="2"/>
  </r>
  <r>
    <s v="ORD0640"/>
    <x v="85"/>
    <s v="CUST1086"/>
    <s v="Customer 1086"/>
    <s v="Smartwatch"/>
    <x v="0"/>
    <n v="1"/>
    <n v="4500"/>
    <n v="0.1"/>
    <x v="0"/>
    <n v="3408.22"/>
    <n v="641.78"/>
    <s v="Chennai"/>
    <x v="1"/>
    <x v="1"/>
    <x v="2"/>
    <x v="1"/>
  </r>
  <r>
    <s v="ORD0641"/>
    <x v="222"/>
    <s v="CUST1083"/>
    <s v="Customer 1083"/>
    <s v="Desk"/>
    <x v="2"/>
    <n v="1"/>
    <n v="6000"/>
    <n v="0.2"/>
    <x v="19"/>
    <n v="4176.7700000000004"/>
    <n v="623.23"/>
    <s v="Mumbai"/>
    <x v="0"/>
    <x v="2"/>
    <x v="1"/>
    <x v="1"/>
  </r>
  <r>
    <s v="ORD0642"/>
    <x v="56"/>
    <s v="CUST1041"/>
    <s v="Customer 1041"/>
    <s v="Coffee Maker"/>
    <x v="1"/>
    <n v="4"/>
    <n v="3500"/>
    <n v="0"/>
    <x v="14"/>
    <n v="9981.11"/>
    <n v="4018.89"/>
    <s v="Hyderabad"/>
    <x v="2"/>
    <x v="1"/>
    <x v="0"/>
    <x v="1"/>
  </r>
  <r>
    <s v="ORD0643"/>
    <x v="289"/>
    <s v="CUST1070"/>
    <s v="Customer 1070"/>
    <s v="Smartwatch"/>
    <x v="0"/>
    <n v="2"/>
    <n v="4500"/>
    <n v="0.2"/>
    <x v="26"/>
    <n v="6143.02"/>
    <n v="1056.98"/>
    <s v="Delhi"/>
    <x v="3"/>
    <x v="0"/>
    <x v="1"/>
    <x v="1"/>
  </r>
  <r>
    <s v="ORD0644"/>
    <x v="222"/>
    <s v="CUST1139"/>
    <s v="Customer 1139"/>
    <s v="Jeans"/>
    <x v="3"/>
    <n v="2"/>
    <n v="1800"/>
    <n v="0"/>
    <x v="25"/>
    <n v="2707.34"/>
    <n v="892.66"/>
    <s v="Delhi"/>
    <x v="3"/>
    <x v="1"/>
    <x v="2"/>
    <x v="0"/>
  </r>
  <r>
    <s v="ORD0645"/>
    <x v="200"/>
    <s v="CUST1110"/>
    <s v="Customer 1110"/>
    <s v="Smartphone"/>
    <x v="0"/>
    <n v="1"/>
    <n v="22000"/>
    <n v="0.15"/>
    <x v="143"/>
    <n v="16283.1"/>
    <n v="2416.9"/>
    <s v="Unknown"/>
    <x v="6"/>
    <x v="0"/>
    <x v="0"/>
    <x v="1"/>
  </r>
  <r>
    <s v="ORD0646"/>
    <x v="222"/>
    <s v="CUST1210"/>
    <s v="Customer 1210"/>
    <s v="Gaming Mouse"/>
    <x v="0"/>
    <n v="5"/>
    <n v="1600"/>
    <n v="0.1"/>
    <x v="26"/>
    <n v="5564.59"/>
    <n v="1635.41"/>
    <s v="Delhi"/>
    <x v="3"/>
    <x v="0"/>
    <x v="0"/>
    <x v="0"/>
  </r>
  <r>
    <s v="ORD0647"/>
    <x v="1"/>
    <s v="CUST1025"/>
    <s v="Customer 1025"/>
    <s v="Gaming Mouse"/>
    <x v="0"/>
    <n v="5"/>
    <n v="1600"/>
    <n v="0.05"/>
    <x v="213"/>
    <n v="6038.27"/>
    <n v="1561.73"/>
    <s v="Mysuru"/>
    <x v="4"/>
    <x v="0"/>
    <x v="3"/>
    <x v="0"/>
  </r>
  <r>
    <s v="ORD0648"/>
    <x v="136"/>
    <s v="CUST1234"/>
    <s v="Customer 1234"/>
    <s v="Jeans"/>
    <x v="3"/>
    <n v="2"/>
    <n v="1800"/>
    <n v="0.05"/>
    <x v="51"/>
    <n v="2640.94"/>
    <n v="779.06"/>
    <s v="Pune"/>
    <x v="0"/>
    <x v="1"/>
    <x v="1"/>
    <x v="0"/>
  </r>
  <r>
    <s v="ORD0649"/>
    <x v="287"/>
    <s v="CUST1029"/>
    <s v="Customer 1029"/>
    <s v="Gaming Mouse"/>
    <x v="0"/>
    <n v="4"/>
    <n v="1600"/>
    <n v="0"/>
    <x v="48"/>
    <n v="4677.32"/>
    <n v="1722.68"/>
    <s v="Mysuru"/>
    <x v="4"/>
    <x v="2"/>
    <x v="4"/>
    <x v="0"/>
  </r>
  <r>
    <s v="ORD0650"/>
    <x v="290"/>
    <s v="CUST1104"/>
    <s v="Customer 1104"/>
    <s v="Mixer Grinder"/>
    <x v="1"/>
    <n v="5"/>
    <n v="2800"/>
    <n v="0.2"/>
    <x v="40"/>
    <n v="11732.52"/>
    <n v="-532.52"/>
    <s v="Chennai"/>
    <x v="1"/>
    <x v="1"/>
    <x v="1"/>
    <x v="1"/>
  </r>
  <r>
    <s v="ORD0651"/>
    <x v="291"/>
    <s v="CUST1152"/>
    <s v="Customer 1152"/>
    <s v="Headphones"/>
    <x v="0"/>
    <n v="3"/>
    <n v="1800"/>
    <n v="0.2"/>
    <x v="37"/>
    <n v="4023.49"/>
    <n v="296.51"/>
    <s v="Kolkata"/>
    <x v="5"/>
    <x v="0"/>
    <x v="4"/>
    <x v="1"/>
  </r>
  <r>
    <s v="ORD0652"/>
    <x v="287"/>
    <s v="CUST1054"/>
    <s v="Customer 1054"/>
    <s v="Shoes"/>
    <x v="3"/>
    <n v="4"/>
    <n v="2800"/>
    <n v="0.15"/>
    <x v="135"/>
    <n v="9376.65"/>
    <n v="143.35"/>
    <s v="Delhi"/>
    <x v="3"/>
    <x v="0"/>
    <x v="3"/>
    <x v="0"/>
  </r>
  <r>
    <s v="ORD0653"/>
    <x v="292"/>
    <s v="CUST1190"/>
    <s v="Customer 1190"/>
    <s v="Coffee Maker"/>
    <x v="1"/>
    <n v="5"/>
    <n v="3500"/>
    <n v="0.05"/>
    <x v="196"/>
    <n v="15121.72"/>
    <n v="1503.28"/>
    <s v="Chennai"/>
    <x v="1"/>
    <x v="0"/>
    <x v="3"/>
    <x v="0"/>
  </r>
  <r>
    <s v="ORD0654"/>
    <x v="258"/>
    <s v="CUST1046"/>
    <s v="Customer 1046"/>
    <s v="Gaming Mouse"/>
    <x v="0"/>
    <n v="3"/>
    <n v="1600"/>
    <n v="0.2"/>
    <x v="98"/>
    <n v="3460.07"/>
    <n v="379.93"/>
    <s v="Mysuru"/>
    <x v="4"/>
    <x v="2"/>
    <x v="2"/>
    <x v="1"/>
  </r>
  <r>
    <s v="ORD0655"/>
    <x v="293"/>
    <s v="CUST1166"/>
    <s v="Customer 1166"/>
    <s v="Smartwatch"/>
    <x v="0"/>
    <n v="5"/>
    <n v="4500"/>
    <n v="0.15"/>
    <x v="173"/>
    <n v="18041.349999999999"/>
    <n v="1083.6500000000001"/>
    <s v="Mysuru"/>
    <x v="4"/>
    <x v="1"/>
    <x v="4"/>
    <x v="0"/>
  </r>
  <r>
    <s v="ORD0656"/>
    <x v="246"/>
    <s v="CUST1100"/>
    <s v="Customer 1100"/>
    <s v="Laptop"/>
    <x v="0"/>
    <n v="2"/>
    <n v="55000"/>
    <n v="0.05"/>
    <x v="105"/>
    <n v="87073.98"/>
    <n v="17426.02"/>
    <s v="Pune"/>
    <x v="0"/>
    <x v="2"/>
    <x v="4"/>
    <x v="0"/>
  </r>
  <r>
    <s v="ORD0657"/>
    <x v="294"/>
    <s v="CUST1236"/>
    <s v="Customer 1236"/>
    <s v="Coffee Maker"/>
    <x v="1"/>
    <n v="3"/>
    <n v="3500"/>
    <n v="0.2"/>
    <x v="119"/>
    <n v="9103.15"/>
    <n v="-703.15"/>
    <s v="Pune"/>
    <x v="0"/>
    <x v="2"/>
    <x v="1"/>
    <x v="0"/>
  </r>
  <r>
    <s v="ORD0658"/>
    <x v="245"/>
    <s v="CUST1219"/>
    <s v="Customer 1219"/>
    <s v="Laptop"/>
    <x v="0"/>
    <n v="5"/>
    <n v="55000"/>
    <n v="0.2"/>
    <x v="107"/>
    <n v="197357.18"/>
    <n v="22642.82"/>
    <s v="Hyderabad"/>
    <x v="2"/>
    <x v="2"/>
    <x v="0"/>
    <x v="0"/>
  </r>
  <r>
    <s v="ORD0659"/>
    <x v="295"/>
    <s v="CUST1222"/>
    <s v="Customer 1222"/>
    <s v="Laptop"/>
    <x v="0"/>
    <n v="5"/>
    <n v="55000"/>
    <n v="0.1"/>
    <x v="30"/>
    <n v="180722.43"/>
    <n v="66777.570000000007"/>
    <s v="Pune"/>
    <x v="0"/>
    <x v="2"/>
    <x v="0"/>
    <x v="0"/>
  </r>
  <r>
    <s v="ORD0660"/>
    <x v="92"/>
    <s v="CUST1140"/>
    <s v="Customer 1140"/>
    <s v="Coffee Maker"/>
    <x v="1"/>
    <n v="4"/>
    <n v="3500"/>
    <n v="0.15"/>
    <x v="44"/>
    <n v="9780.1200000000008"/>
    <n v="2119.88"/>
    <s v="Kolkata"/>
    <x v="5"/>
    <x v="1"/>
    <x v="3"/>
    <x v="0"/>
  </r>
  <r>
    <s v="ORD0661"/>
    <x v="190"/>
    <s v="CUST1040"/>
    <s v="Customer 1040"/>
    <s v="T-Shirt"/>
    <x v="3"/>
    <n v="5"/>
    <n v="800"/>
    <n v="0.15"/>
    <x v="214"/>
    <n v="2865.39"/>
    <n v="534.61"/>
    <s v="Kolkata"/>
    <x v="5"/>
    <x v="0"/>
    <x v="4"/>
    <x v="0"/>
  </r>
  <r>
    <s v="ORD0662"/>
    <x v="238"/>
    <s v="CUST1169"/>
    <s v="Customer 1169"/>
    <s v="Laptop"/>
    <x v="0"/>
    <n v="1"/>
    <n v="55000"/>
    <n v="0"/>
    <x v="191"/>
    <n v="41274.699999999997"/>
    <n v="13725.3"/>
    <s v="Mysuru"/>
    <x v="4"/>
    <x v="1"/>
    <x v="2"/>
    <x v="0"/>
  </r>
  <r>
    <s v="ORD0663"/>
    <x v="170"/>
    <s v="CUST1117"/>
    <s v="Customer 1117"/>
    <s v="Study Table Lamp"/>
    <x v="1"/>
    <n v="4"/>
    <n v="1200"/>
    <n v="0.2"/>
    <x v="98"/>
    <n v="3682.39"/>
    <n v="157.61000000000001"/>
    <s v="Hyderabad"/>
    <x v="2"/>
    <x v="0"/>
    <x v="3"/>
    <x v="0"/>
  </r>
  <r>
    <s v="ORD0664"/>
    <x v="170"/>
    <s v="CUST1148"/>
    <s v="Customer 1148"/>
    <s v="Mixer Grinder"/>
    <x v="1"/>
    <n v="2"/>
    <n v="2800"/>
    <n v="0.05"/>
    <x v="35"/>
    <n v="4281.63"/>
    <n v="1038.3699999999999"/>
    <s v="Bengaluru"/>
    <x v="4"/>
    <x v="0"/>
    <x v="4"/>
    <x v="2"/>
  </r>
  <r>
    <s v="ORD0665"/>
    <x v="112"/>
    <s v="CUST1009"/>
    <s v="Customer 1009"/>
    <s v="Office Chair"/>
    <x v="2"/>
    <n v="4"/>
    <n v="7500"/>
    <n v="0.2"/>
    <x v="99"/>
    <n v="26249.81"/>
    <n v="-2249.81"/>
    <s v="Delhi"/>
    <x v="3"/>
    <x v="0"/>
    <x v="3"/>
    <x v="2"/>
  </r>
  <r>
    <s v="ORD0666"/>
    <x v="98"/>
    <s v="CUST1037"/>
    <s v="Customer 1037"/>
    <s v="Mixer Grinder"/>
    <x v="1"/>
    <n v="1"/>
    <n v="2800"/>
    <n v="0.2"/>
    <x v="85"/>
    <n v="2290.2399999999998"/>
    <n v="-50.24"/>
    <s v="Chennai"/>
    <x v="1"/>
    <x v="0"/>
    <x v="1"/>
    <x v="0"/>
  </r>
  <r>
    <s v="ORD0667"/>
    <x v="296"/>
    <s v="CUST1121"/>
    <s v="Customer 1121"/>
    <s v="Headphones"/>
    <x v="0"/>
    <n v="5"/>
    <n v="1800"/>
    <n v="0.2"/>
    <x v="26"/>
    <n v="7155.47"/>
    <n v="44.53"/>
    <s v="Mumbai"/>
    <x v="0"/>
    <x v="0"/>
    <x v="2"/>
    <x v="2"/>
  </r>
  <r>
    <s v="ORD0668"/>
    <x v="194"/>
    <s v="CUST1121"/>
    <s v="Customer 1121"/>
    <s v="Desk"/>
    <x v="2"/>
    <n v="5"/>
    <n v="6000"/>
    <n v="0"/>
    <x v="59"/>
    <n v="22632.84"/>
    <n v="7367.16"/>
    <s v="Bengaluru"/>
    <x v="4"/>
    <x v="2"/>
    <x v="0"/>
    <x v="2"/>
  </r>
  <r>
    <s v="ORD0669"/>
    <x v="14"/>
    <s v="CUST1043"/>
    <s v="Customer 1043"/>
    <s v="Coffee Maker"/>
    <x v="1"/>
    <n v="4"/>
    <n v="3500"/>
    <n v="0.1"/>
    <x v="55"/>
    <n v="9213.75"/>
    <n v="3386.25"/>
    <s v="Pune"/>
    <x v="0"/>
    <x v="0"/>
    <x v="1"/>
    <x v="2"/>
  </r>
  <r>
    <s v="ORD0670"/>
    <x v="123"/>
    <s v="CUST1147"/>
    <s v="Customer 1147"/>
    <s v="Office Chair"/>
    <x v="2"/>
    <n v="1"/>
    <n v="7500"/>
    <n v="0.15"/>
    <x v="5"/>
    <n v="4964.04"/>
    <n v="1410.96"/>
    <s v="Hyderabad"/>
    <x v="2"/>
    <x v="2"/>
    <x v="0"/>
    <x v="0"/>
  </r>
  <r>
    <s v="ORD0671"/>
    <x v="86"/>
    <s v="CUST1218"/>
    <s v="Customer 1218"/>
    <s v="Desk"/>
    <x v="2"/>
    <n v="4"/>
    <n v="6000"/>
    <n v="0"/>
    <x v="99"/>
    <n v="19926.37"/>
    <n v="4073.63"/>
    <s v="Chennai"/>
    <x v="1"/>
    <x v="2"/>
    <x v="4"/>
    <x v="1"/>
  </r>
  <r>
    <s v="ORD0672"/>
    <x v="214"/>
    <s v="CUST1155"/>
    <s v="Customer 1155"/>
    <s v="Office Chair"/>
    <x v="2"/>
    <n v="3"/>
    <n v="7500"/>
    <n v="0.1"/>
    <x v="215"/>
    <n v="15528.63"/>
    <n v="4721.37"/>
    <s v="Chennai"/>
    <x v="1"/>
    <x v="0"/>
    <x v="4"/>
    <x v="2"/>
  </r>
  <r>
    <s v="ORD0673"/>
    <x v="297"/>
    <s v="CUST1125"/>
    <s v="Customer 1125"/>
    <s v="Gaming Mouse"/>
    <x v="0"/>
    <n v="3"/>
    <n v="1600"/>
    <n v="0.05"/>
    <x v="170"/>
    <n v="3319.61"/>
    <n v="1240.3900000000001"/>
    <s v="Mumbai"/>
    <x v="0"/>
    <x v="0"/>
    <x v="2"/>
    <x v="0"/>
  </r>
  <r>
    <s v="ORD0674"/>
    <x v="3"/>
    <s v="CUST1193"/>
    <s v="Customer 1193"/>
    <s v="Headphones"/>
    <x v="0"/>
    <n v="2"/>
    <n v="1800"/>
    <n v="0.2"/>
    <x v="47"/>
    <n v="3162.69"/>
    <n v="-282.69"/>
    <s v="Mysuru"/>
    <x v="4"/>
    <x v="2"/>
    <x v="4"/>
    <x v="2"/>
  </r>
  <r>
    <s v="ORD0675"/>
    <x v="112"/>
    <s v="CUST1014"/>
    <s v="Customer 1014"/>
    <s v="Gaming Mouse"/>
    <x v="0"/>
    <n v="2"/>
    <n v="1600"/>
    <n v="0.05"/>
    <x v="216"/>
    <n v="2552.6999999999998"/>
    <n v="487.3"/>
    <s v="Delhi"/>
    <x v="3"/>
    <x v="1"/>
    <x v="2"/>
    <x v="0"/>
  </r>
  <r>
    <s v="ORD0676"/>
    <x v="241"/>
    <s v="CUST1192"/>
    <s v="Customer 1192"/>
    <s v="Gaming Mouse"/>
    <x v="0"/>
    <n v="4"/>
    <n v="1600"/>
    <n v="0.15"/>
    <x v="129"/>
    <n v="5555.83"/>
    <n v="-115.83"/>
    <s v="Mysuru"/>
    <x v="4"/>
    <x v="0"/>
    <x v="4"/>
    <x v="0"/>
  </r>
  <r>
    <s v="ORD0677"/>
    <x v="91"/>
    <s v="CUST1004"/>
    <s v="Customer 1004"/>
    <s v="Book"/>
    <x v="4"/>
    <n v="4"/>
    <n v="450"/>
    <n v="0.1"/>
    <x v="17"/>
    <n v="1289.56"/>
    <n v="330.44"/>
    <s v="Kolkata"/>
    <x v="5"/>
    <x v="2"/>
    <x v="3"/>
    <x v="2"/>
  </r>
  <r>
    <s v="ORD0678"/>
    <x v="258"/>
    <s v="CUST1245"/>
    <s v="Customer 1245"/>
    <s v="Coffee Maker"/>
    <x v="1"/>
    <n v="5"/>
    <n v="3500"/>
    <n v="0"/>
    <x v="217"/>
    <n v="14773.06"/>
    <n v="2726.94"/>
    <s v="Delhi"/>
    <x v="3"/>
    <x v="0"/>
    <x v="1"/>
    <x v="0"/>
  </r>
  <r>
    <s v="ORD0679"/>
    <x v="260"/>
    <s v="CUST1119"/>
    <s v="Customer 1119"/>
    <s v="Office Chair"/>
    <x v="2"/>
    <n v="3"/>
    <n v="7500"/>
    <n v="0"/>
    <x v="13"/>
    <n v="18626.060000000001"/>
    <n v="3873.94"/>
    <s v="Kolkata"/>
    <x v="5"/>
    <x v="0"/>
    <x v="4"/>
    <x v="2"/>
  </r>
  <r>
    <s v="ORD0680"/>
    <x v="207"/>
    <s v="CUST1081"/>
    <s v="Customer 1081"/>
    <s v="T-Shirt"/>
    <x v="3"/>
    <n v="5"/>
    <n v="800"/>
    <n v="0.1"/>
    <x v="25"/>
    <n v="3103.8"/>
    <n v="496.2"/>
    <s v="Hyderabad"/>
    <x v="2"/>
    <x v="0"/>
    <x v="2"/>
    <x v="0"/>
  </r>
  <r>
    <s v="ORD0681"/>
    <x v="165"/>
    <s v="CUST1176"/>
    <s v="Customer 1176"/>
    <s v="Laptop"/>
    <x v="0"/>
    <n v="4"/>
    <n v="55000"/>
    <n v="0"/>
    <x v="107"/>
    <n v="165564.68"/>
    <n v="54435.32"/>
    <s v="Chennai"/>
    <x v="1"/>
    <x v="1"/>
    <x v="1"/>
    <x v="0"/>
  </r>
  <r>
    <s v="ORD0682"/>
    <x v="100"/>
    <s v="CUST1015"/>
    <s v="Customer 1015"/>
    <s v="T-Shirt"/>
    <x v="3"/>
    <n v="1"/>
    <n v="800"/>
    <n v="0"/>
    <x v="179"/>
    <n v="692.69"/>
    <n v="107.31"/>
    <s v="Chennai"/>
    <x v="1"/>
    <x v="0"/>
    <x v="4"/>
    <x v="1"/>
  </r>
  <r>
    <s v="ORD0683"/>
    <x v="34"/>
    <s v="CUST1097"/>
    <s v="Customer 1097"/>
    <s v="Smartwatch"/>
    <x v="0"/>
    <n v="1"/>
    <n v="4500"/>
    <n v="0"/>
    <x v="176"/>
    <n v="3604.37"/>
    <n v="895.63"/>
    <s v="Hyderabad"/>
    <x v="2"/>
    <x v="0"/>
    <x v="0"/>
    <x v="0"/>
  </r>
  <r>
    <s v="ORD0684"/>
    <x v="14"/>
    <s v="CUST1170"/>
    <s v="Customer 1170"/>
    <s v="Smartwatch"/>
    <x v="0"/>
    <n v="2"/>
    <n v="4500"/>
    <n v="0.1"/>
    <x v="64"/>
    <n v="7787.9"/>
    <n v="312.10000000000002"/>
    <s v="Mysuru"/>
    <x v="4"/>
    <x v="0"/>
    <x v="3"/>
    <x v="0"/>
  </r>
  <r>
    <s v="ORD0685"/>
    <x v="248"/>
    <s v="CUST1071"/>
    <s v="Customer 1071"/>
    <s v="Study Table Lamp"/>
    <x v="1"/>
    <n v="3"/>
    <n v="1200"/>
    <n v="0.1"/>
    <x v="77"/>
    <n v="2983.44"/>
    <n v="256.56"/>
    <s v="Chennai"/>
    <x v="1"/>
    <x v="2"/>
    <x v="3"/>
    <x v="0"/>
  </r>
  <r>
    <s v="ORD0686"/>
    <x v="257"/>
    <s v="CUST1018"/>
    <s v="Customer 1018"/>
    <s v="Smartphone"/>
    <x v="0"/>
    <n v="3"/>
    <n v="22000"/>
    <n v="0.1"/>
    <x v="209"/>
    <n v="50364.34"/>
    <n v="9035.66"/>
    <s v="Mysuru"/>
    <x v="4"/>
    <x v="1"/>
    <x v="0"/>
    <x v="0"/>
  </r>
  <r>
    <s v="ORD0687"/>
    <x v="238"/>
    <s v="CUST1056"/>
    <s v="Customer 1056"/>
    <s v="Shoes"/>
    <x v="3"/>
    <n v="4"/>
    <n v="2800"/>
    <n v="0"/>
    <x v="40"/>
    <n v="8861.58"/>
    <n v="2338.42"/>
    <s v="Kolkata"/>
    <x v="5"/>
    <x v="1"/>
    <x v="3"/>
    <x v="2"/>
  </r>
  <r>
    <s v="ORD0688"/>
    <x v="189"/>
    <s v="CUST1147"/>
    <s v="Customer 1147"/>
    <s v="Office Chair"/>
    <x v="2"/>
    <n v="1"/>
    <n v="7500"/>
    <n v="0"/>
    <x v="65"/>
    <n v="6130.02"/>
    <n v="1369.98"/>
    <s v="Chennai"/>
    <x v="1"/>
    <x v="2"/>
    <x v="2"/>
    <x v="0"/>
  </r>
  <r>
    <s v="ORD0689"/>
    <x v="45"/>
    <s v="CUST1069"/>
    <s v="Customer 1069"/>
    <s v="Backpack"/>
    <x v="5"/>
    <n v="1"/>
    <n v="1400"/>
    <n v="0"/>
    <x v="71"/>
    <n v="958.82"/>
    <n v="441.18"/>
    <s v="Kolkata"/>
    <x v="5"/>
    <x v="2"/>
    <x v="3"/>
    <x v="1"/>
  </r>
  <r>
    <s v="ORD0690"/>
    <x v="55"/>
    <s v="CUST1104"/>
    <s v="Customer 1104"/>
    <s v="Laptop"/>
    <x v="0"/>
    <n v="5"/>
    <n v="55000"/>
    <n v="0.15"/>
    <x v="52"/>
    <n v="232136.11"/>
    <n v="1613.89"/>
    <s v="Kolkata"/>
    <x v="5"/>
    <x v="1"/>
    <x v="0"/>
    <x v="0"/>
  </r>
  <r>
    <s v="ORD0691"/>
    <x v="103"/>
    <s v="CUST1086"/>
    <s v="Customer 1086"/>
    <s v="Laptop"/>
    <x v="0"/>
    <n v="4"/>
    <n v="55000"/>
    <n v="0.15"/>
    <x v="69"/>
    <n v="177500.89"/>
    <n v="9499.11"/>
    <s v="Delhi"/>
    <x v="3"/>
    <x v="2"/>
    <x v="2"/>
    <x v="2"/>
  </r>
  <r>
    <s v="ORD0692"/>
    <x v="265"/>
    <s v="CUST1216"/>
    <s v="Customer 1216"/>
    <s v="Headphones"/>
    <x v="0"/>
    <n v="3"/>
    <n v="1800"/>
    <n v="0.2"/>
    <x v="37"/>
    <n v="4080.87"/>
    <n v="239.13"/>
    <s v="Chennai"/>
    <x v="1"/>
    <x v="2"/>
    <x v="4"/>
    <x v="0"/>
  </r>
  <r>
    <s v="ORD0693"/>
    <x v="174"/>
    <s v="CUST1230"/>
    <s v="Customer 1230"/>
    <s v="Smartphone"/>
    <x v="0"/>
    <n v="4"/>
    <n v="22000"/>
    <n v="0.05"/>
    <x v="169"/>
    <n v="59360.98"/>
    <n v="24239.02"/>
    <s v="Kolkata"/>
    <x v="5"/>
    <x v="0"/>
    <x v="1"/>
    <x v="0"/>
  </r>
  <r>
    <s v="ORD0694"/>
    <x v="178"/>
    <s v="CUST1050"/>
    <s v="Customer 1050"/>
    <s v="Headphones"/>
    <x v="0"/>
    <n v="4"/>
    <n v="1800"/>
    <n v="0.05"/>
    <x v="53"/>
    <n v="4722"/>
    <n v="2118"/>
    <s v="Bengaluru"/>
    <x v="4"/>
    <x v="0"/>
    <x v="4"/>
    <x v="0"/>
  </r>
  <r>
    <s v="ORD0695"/>
    <x v="298"/>
    <s v="CUST1128"/>
    <s v="Customer 1128"/>
    <s v="Book"/>
    <x v="4"/>
    <n v="1"/>
    <n v="450"/>
    <n v="0.2"/>
    <x v="132"/>
    <n v="347.76"/>
    <n v="12.24"/>
    <s v="Pune"/>
    <x v="0"/>
    <x v="2"/>
    <x v="2"/>
    <x v="0"/>
  </r>
  <r>
    <s v="ORD0696"/>
    <x v="232"/>
    <s v="CUST1031"/>
    <s v="Customer 1031"/>
    <s v="Coffee Maker"/>
    <x v="1"/>
    <n v="1"/>
    <n v="3500"/>
    <n v="0.1"/>
    <x v="42"/>
    <n v="2445.4"/>
    <n v="704.6"/>
    <s v="Kolkata"/>
    <x v="5"/>
    <x v="0"/>
    <x v="0"/>
    <x v="0"/>
  </r>
  <r>
    <s v="ORD0697"/>
    <x v="21"/>
    <s v="CUST1189"/>
    <s v="Customer 1189"/>
    <s v="Backpack"/>
    <x v="5"/>
    <n v="5"/>
    <n v="1400"/>
    <n v="0.05"/>
    <x v="134"/>
    <n v="4777.96"/>
    <n v="1872.04"/>
    <s v="Bengaluru"/>
    <x v="4"/>
    <x v="0"/>
    <x v="2"/>
    <x v="0"/>
  </r>
  <r>
    <s v="ORD0698"/>
    <x v="214"/>
    <s v="CUST1162"/>
    <s v="Customer 1162"/>
    <s v="Smartphone"/>
    <x v="0"/>
    <n v="2"/>
    <n v="22000"/>
    <n v="0.05"/>
    <x v="218"/>
    <n v="29105.57"/>
    <n v="12694.43"/>
    <s v="Hyderabad"/>
    <x v="2"/>
    <x v="2"/>
    <x v="2"/>
    <x v="0"/>
  </r>
  <r>
    <s v="ORD0699"/>
    <x v="275"/>
    <s v="CUST1128"/>
    <s v="Customer 1128"/>
    <s v="Shoes"/>
    <x v="3"/>
    <n v="5"/>
    <n v="2800"/>
    <n v="0"/>
    <x v="14"/>
    <n v="11015.83"/>
    <n v="2984.17"/>
    <s v="Chennai"/>
    <x v="1"/>
    <x v="0"/>
    <x v="4"/>
    <x v="0"/>
  </r>
  <r>
    <s v="ORD0700"/>
    <x v="294"/>
    <s v="CUST1084"/>
    <s v="Customer 1084"/>
    <s v="T-Shirt"/>
    <x v="3"/>
    <n v="4"/>
    <n v="800"/>
    <n v="0.1"/>
    <x v="47"/>
    <n v="2168.91"/>
    <n v="711.09"/>
    <s v="Kolkata"/>
    <x v="5"/>
    <x v="0"/>
    <x v="0"/>
    <x v="1"/>
  </r>
  <r>
    <s v="ORD0701"/>
    <x v="48"/>
    <s v="CUST1086"/>
    <s v="Customer 1086"/>
    <s v="Backpack"/>
    <x v="5"/>
    <n v="3"/>
    <n v="1400"/>
    <n v="0.05"/>
    <x v="162"/>
    <n v="2791.07"/>
    <n v="1198.93"/>
    <s v="Hyderabad"/>
    <x v="2"/>
    <x v="2"/>
    <x v="4"/>
    <x v="0"/>
  </r>
  <r>
    <s v="ORD0702"/>
    <x v="18"/>
    <s v="CUST1063"/>
    <s v="Customer 1063"/>
    <s v="Shoes"/>
    <x v="3"/>
    <n v="3"/>
    <n v="2800"/>
    <n v="0.2"/>
    <x v="130"/>
    <n v="7248.41"/>
    <n v="-528.41"/>
    <s v="Mysuru"/>
    <x v="4"/>
    <x v="1"/>
    <x v="4"/>
    <x v="0"/>
  </r>
  <r>
    <s v="ORD0703"/>
    <x v="199"/>
    <s v="CUST1002"/>
    <s v="Customer 1002"/>
    <s v="Book"/>
    <x v="4"/>
    <n v="2"/>
    <n v="450"/>
    <n v="0"/>
    <x v="203"/>
    <n v="586.5"/>
    <n v="313.5"/>
    <s v="Chennai"/>
    <x v="1"/>
    <x v="1"/>
    <x v="0"/>
    <x v="0"/>
  </r>
  <r>
    <s v="ORD0704"/>
    <x v="212"/>
    <s v="CUST1164"/>
    <s v="Customer 1164"/>
    <s v="Study Table Lamp"/>
    <x v="1"/>
    <n v="4"/>
    <n v="1200"/>
    <n v="0.05"/>
    <x v="170"/>
    <n v="3419.13"/>
    <n v="1140.8699999999999"/>
    <s v="Hyderabad"/>
    <x v="2"/>
    <x v="2"/>
    <x v="3"/>
    <x v="0"/>
  </r>
  <r>
    <s v="ORD0705"/>
    <x v="138"/>
    <s v="CUST1184"/>
    <s v="Customer 1184"/>
    <s v="Shoes"/>
    <x v="3"/>
    <n v="5"/>
    <n v="2800"/>
    <n v="0"/>
    <x v="14"/>
    <n v="10709.64"/>
    <n v="3290.36"/>
    <s v="Hyderabad"/>
    <x v="2"/>
    <x v="1"/>
    <x v="1"/>
    <x v="0"/>
  </r>
  <r>
    <s v="ORD0706"/>
    <x v="89"/>
    <s v="CUST1031"/>
    <s v="Customer 1031"/>
    <s v="Study Table Lamp"/>
    <x v="1"/>
    <n v="1"/>
    <n v="1200"/>
    <n v="0.2"/>
    <x v="41"/>
    <n v="1052.3"/>
    <n v="-92.3"/>
    <s v="Mumbai"/>
    <x v="0"/>
    <x v="1"/>
    <x v="0"/>
    <x v="0"/>
  </r>
  <r>
    <s v="ORD0707"/>
    <x v="285"/>
    <s v="CUST1050"/>
    <s v="Customer 1050"/>
    <s v="Jeans"/>
    <x v="3"/>
    <n v="4"/>
    <n v="1800"/>
    <n v="0.05"/>
    <x v="53"/>
    <n v="4866.6000000000004"/>
    <n v="1973.4"/>
    <s v="Bengaluru"/>
    <x v="4"/>
    <x v="1"/>
    <x v="3"/>
    <x v="0"/>
  </r>
  <r>
    <s v="ORD0708"/>
    <x v="200"/>
    <s v="CUST1073"/>
    <s v="Customer 1073"/>
    <s v="Shoes"/>
    <x v="3"/>
    <n v="2"/>
    <n v="2800"/>
    <n v="0"/>
    <x v="56"/>
    <n v="3909.95"/>
    <n v="1690.05"/>
    <s v="Delhi"/>
    <x v="3"/>
    <x v="2"/>
    <x v="1"/>
    <x v="1"/>
  </r>
  <r>
    <s v="ORD0709"/>
    <x v="105"/>
    <s v="CUST1041"/>
    <s v="Customer 1041"/>
    <s v="Gaming Mouse"/>
    <x v="0"/>
    <n v="1"/>
    <n v="1600"/>
    <n v="0"/>
    <x v="45"/>
    <n v="1329.06"/>
    <n v="270.94"/>
    <s v="Hyderabad"/>
    <x v="2"/>
    <x v="2"/>
    <x v="0"/>
    <x v="0"/>
  </r>
  <r>
    <s v="ORD0710"/>
    <x v="106"/>
    <s v="CUST1108"/>
    <s v="Customer 1108"/>
    <s v="Headphones"/>
    <x v="0"/>
    <n v="2"/>
    <n v="1800"/>
    <n v="0.15"/>
    <x v="154"/>
    <n v="2504.5700000000002"/>
    <n v="555.42999999999995"/>
    <s v="Delhi"/>
    <x v="3"/>
    <x v="0"/>
    <x v="1"/>
    <x v="0"/>
  </r>
  <r>
    <s v="ORD0711"/>
    <x v="299"/>
    <s v="CUST1189"/>
    <s v="Customer 1189"/>
    <s v="Smartwatch"/>
    <x v="0"/>
    <n v="3"/>
    <n v="4500"/>
    <n v="0.05"/>
    <x v="39"/>
    <n v="10056.11"/>
    <n v="2768.89"/>
    <s v="Mumbai"/>
    <x v="0"/>
    <x v="1"/>
    <x v="3"/>
    <x v="0"/>
  </r>
  <r>
    <s v="ORD0712"/>
    <x v="300"/>
    <s v="CUST1228"/>
    <s v="Customer 1228"/>
    <s v="Headphones"/>
    <x v="0"/>
    <n v="4"/>
    <n v="1800"/>
    <n v="0.2"/>
    <x v="106"/>
    <n v="5401.79"/>
    <n v="358.21"/>
    <s v="Bengaluru"/>
    <x v="4"/>
    <x v="1"/>
    <x v="5"/>
    <x v="0"/>
  </r>
  <r>
    <s v="ORD0713"/>
    <x v="101"/>
    <s v="CUST1185"/>
    <s v="Customer 1185"/>
    <s v="Shoes"/>
    <x v="3"/>
    <n v="4"/>
    <n v="2800"/>
    <n v="0.1"/>
    <x v="219"/>
    <n v="7780.14"/>
    <n v="2299.86"/>
    <s v="Mysuru"/>
    <x v="4"/>
    <x v="2"/>
    <x v="1"/>
    <x v="0"/>
  </r>
  <r>
    <s v="ORD0714"/>
    <x v="143"/>
    <s v="CUST1072"/>
    <s v="Customer 1072"/>
    <s v="Coffee Maker"/>
    <x v="1"/>
    <n v="2"/>
    <n v="3500"/>
    <n v="0"/>
    <x v="108"/>
    <n v="4769.7700000000004"/>
    <n v="2230.23"/>
    <s v="Bengaluru"/>
    <x v="4"/>
    <x v="2"/>
    <x v="3"/>
    <x v="0"/>
  </r>
  <r>
    <s v="ORD0715"/>
    <x v="251"/>
    <s v="CUST1203"/>
    <s v="Customer 1203"/>
    <s v="Shoes"/>
    <x v="3"/>
    <n v="3"/>
    <n v="2800"/>
    <n v="0.05"/>
    <x v="126"/>
    <n v="6995.1"/>
    <n v="984.9"/>
    <s v="Hyderabad"/>
    <x v="2"/>
    <x v="0"/>
    <x v="4"/>
    <x v="1"/>
  </r>
  <r>
    <s v="ORD0716"/>
    <x v="243"/>
    <s v="CUST1221"/>
    <s v="Customer 1221"/>
    <s v="Jeans"/>
    <x v="3"/>
    <n v="1"/>
    <n v="1800"/>
    <n v="0.15"/>
    <x v="68"/>
    <n v="1582.21"/>
    <n v="-52.21"/>
    <s v="Mysuru"/>
    <x v="4"/>
    <x v="0"/>
    <x v="3"/>
    <x v="0"/>
  </r>
  <r>
    <s v="ORD0717"/>
    <x v="168"/>
    <s v="CUST1084"/>
    <s v="Customer 1084"/>
    <s v="Office Chair"/>
    <x v="2"/>
    <n v="1"/>
    <n v="7500"/>
    <n v="0.15"/>
    <x v="5"/>
    <n v="5624.08"/>
    <n v="750.92"/>
    <s v="Mumbai"/>
    <x v="0"/>
    <x v="1"/>
    <x v="0"/>
    <x v="0"/>
  </r>
  <r>
    <s v="ORD0718"/>
    <x v="29"/>
    <s v="CUST1188"/>
    <s v="Customer 1188"/>
    <s v="Laptop"/>
    <x v="0"/>
    <n v="4"/>
    <n v="55000"/>
    <n v="0"/>
    <x v="107"/>
    <n v="181891.48"/>
    <n v="38108.519999999997"/>
    <s v="Mysuru"/>
    <x v="4"/>
    <x v="1"/>
    <x v="3"/>
    <x v="1"/>
  </r>
  <r>
    <s v="ORD0719"/>
    <x v="246"/>
    <s v="CUST1062"/>
    <s v="Customer 1062"/>
    <s v="Book"/>
    <x v="4"/>
    <n v="4"/>
    <n v="450"/>
    <n v="0"/>
    <x v="3"/>
    <n v="1204.4000000000001"/>
    <n v="595.6"/>
    <s v="Mysuru"/>
    <x v="4"/>
    <x v="1"/>
    <x v="3"/>
    <x v="0"/>
  </r>
  <r>
    <s v="ORD0720"/>
    <x v="30"/>
    <s v="CUST1005"/>
    <s v="Customer 1005"/>
    <s v="Backpack"/>
    <x v="5"/>
    <n v="3"/>
    <n v="1400"/>
    <n v="0.1"/>
    <x v="31"/>
    <n v="3193.47"/>
    <n v="586.53"/>
    <s v="Chennai"/>
    <x v="1"/>
    <x v="2"/>
    <x v="4"/>
    <x v="2"/>
  </r>
  <r>
    <s v="ORD0721"/>
    <x v="252"/>
    <s v="CUST1119"/>
    <s v="Customer 1119"/>
    <s v="Gaming Mouse"/>
    <x v="0"/>
    <n v="5"/>
    <n v="1600"/>
    <n v="0.2"/>
    <x v="48"/>
    <n v="6620.18"/>
    <n v="-220.18"/>
    <s v="Mysuru"/>
    <x v="4"/>
    <x v="0"/>
    <x v="3"/>
    <x v="0"/>
  </r>
  <r>
    <s v="ORD0722"/>
    <x v="301"/>
    <s v="CUST1099"/>
    <s v="Customer 1099"/>
    <s v="Mixer Grinder"/>
    <x v="1"/>
    <n v="4"/>
    <n v="2800"/>
    <n v="0"/>
    <x v="40"/>
    <n v="9581.49"/>
    <n v="1618.51"/>
    <s v="Chennai"/>
    <x v="1"/>
    <x v="2"/>
    <x v="0"/>
    <x v="0"/>
  </r>
  <r>
    <s v="ORD0723"/>
    <x v="180"/>
    <s v="CUST1202"/>
    <s v="Customer 1202"/>
    <s v="Desk"/>
    <x v="2"/>
    <n v="4"/>
    <n v="6000"/>
    <n v="0.1"/>
    <x v="171"/>
    <n v="19379.349999999999"/>
    <n v="2220.65"/>
    <s v="Mumbai"/>
    <x v="0"/>
    <x v="0"/>
    <x v="1"/>
    <x v="2"/>
  </r>
  <r>
    <s v="ORD0724"/>
    <x v="105"/>
    <s v="CUST1099"/>
    <s v="Customer 1099"/>
    <s v="Smartphone"/>
    <x v="0"/>
    <n v="5"/>
    <n v="22000"/>
    <n v="0.1"/>
    <x v="97"/>
    <n v="80749.45"/>
    <n v="18250.55"/>
    <s v="Chennai"/>
    <x v="1"/>
    <x v="0"/>
    <x v="2"/>
    <x v="0"/>
  </r>
  <r>
    <s v="ORD0725"/>
    <x v="7"/>
    <s v="CUST1144"/>
    <s v="Customer 1144"/>
    <s v="Mixer Grinder"/>
    <x v="1"/>
    <n v="2"/>
    <n v="2800"/>
    <n v="0.2"/>
    <x v="15"/>
    <n v="4553.63"/>
    <n v="-73.63"/>
    <s v="Chennai"/>
    <x v="1"/>
    <x v="1"/>
    <x v="4"/>
    <x v="0"/>
  </r>
  <r>
    <s v="ORD0726"/>
    <x v="135"/>
    <s v="CUST1189"/>
    <s v="Customer 1189"/>
    <s v="Jeans"/>
    <x v="3"/>
    <n v="5"/>
    <n v="1800"/>
    <n v="0"/>
    <x v="72"/>
    <n v="7794.04"/>
    <n v="1205.96"/>
    <s v="Mysuru"/>
    <x v="4"/>
    <x v="0"/>
    <x v="4"/>
    <x v="2"/>
  </r>
  <r>
    <s v="ORD0727"/>
    <x v="281"/>
    <s v="CUST1071"/>
    <s v="Customer 1071"/>
    <s v="Jeans"/>
    <x v="3"/>
    <n v="3"/>
    <n v="1800"/>
    <n v="0.1"/>
    <x v="38"/>
    <n v="3577.64"/>
    <n v="1282.3599999999999"/>
    <s v="Kolkata"/>
    <x v="5"/>
    <x v="2"/>
    <x v="1"/>
    <x v="0"/>
  </r>
  <r>
    <s v="ORD0728"/>
    <x v="103"/>
    <s v="CUST1182"/>
    <s v="Customer 1182"/>
    <s v="Keyboard"/>
    <x v="0"/>
    <n v="5"/>
    <n v="2200"/>
    <n v="0.2"/>
    <x v="155"/>
    <n v="8495.7199999999993"/>
    <n v="304.27999999999997"/>
    <s v="Mysuru"/>
    <x v="4"/>
    <x v="0"/>
    <x v="1"/>
    <x v="0"/>
  </r>
  <r>
    <s v="ORD0729"/>
    <x v="31"/>
    <s v="CUST1021"/>
    <s v="Customer 1021"/>
    <s v="Mixer Grinder"/>
    <x v="1"/>
    <n v="1"/>
    <n v="2800"/>
    <n v="0.05"/>
    <x v="29"/>
    <n v="2071.6"/>
    <n v="588.4"/>
    <s v="Chennai"/>
    <x v="1"/>
    <x v="1"/>
    <x v="1"/>
    <x v="0"/>
  </r>
  <r>
    <s v="ORD0730"/>
    <x v="283"/>
    <s v="CUST1128"/>
    <s v="Customer 1128"/>
    <s v="Smartwatch"/>
    <x v="0"/>
    <n v="2"/>
    <n v="4500"/>
    <n v="0.1"/>
    <x v="64"/>
    <n v="6161.53"/>
    <n v="1938.47"/>
    <s v="Hyderabad"/>
    <x v="2"/>
    <x v="1"/>
    <x v="0"/>
    <x v="2"/>
  </r>
  <r>
    <s v="ORD0731"/>
    <x v="302"/>
    <s v="CUST1122"/>
    <s v="Customer 1122"/>
    <s v="Laptop"/>
    <x v="0"/>
    <n v="3"/>
    <n v="55000"/>
    <n v="0.15"/>
    <x v="138"/>
    <n v="120407.27"/>
    <n v="19842.73"/>
    <s v="Hyderabad"/>
    <x v="2"/>
    <x v="2"/>
    <x v="2"/>
    <x v="0"/>
  </r>
  <r>
    <s v="ORD0732"/>
    <x v="53"/>
    <s v="CUST1106"/>
    <s v="Customer 1106"/>
    <s v="T-Shirt"/>
    <x v="3"/>
    <n v="1"/>
    <n v="800"/>
    <n v="0"/>
    <x v="179"/>
    <n v="626.48"/>
    <n v="173.52"/>
    <s v="Delhi"/>
    <x v="3"/>
    <x v="0"/>
    <x v="1"/>
    <x v="0"/>
  </r>
  <r>
    <s v="ORD0733"/>
    <x v="182"/>
    <s v="CUST1230"/>
    <s v="Customer 1230"/>
    <s v="Gaming Mouse"/>
    <x v="0"/>
    <n v="4"/>
    <n v="1600"/>
    <n v="0.1"/>
    <x v="106"/>
    <n v="5321.92"/>
    <n v="438.08"/>
    <s v="Hyderabad"/>
    <x v="2"/>
    <x v="1"/>
    <x v="1"/>
    <x v="0"/>
  </r>
  <r>
    <s v="ORD0734"/>
    <x v="303"/>
    <s v="CUST1091"/>
    <s v="Customer 1091"/>
    <s v="Keyboard"/>
    <x v="0"/>
    <n v="3"/>
    <n v="2200"/>
    <n v="0.1"/>
    <x v="220"/>
    <n v="4721.6899999999996"/>
    <n v="1218.31"/>
    <s v="Hyderabad"/>
    <x v="2"/>
    <x v="1"/>
    <x v="0"/>
    <x v="0"/>
  </r>
  <r>
    <s v="ORD0735"/>
    <x v="304"/>
    <s v="CUST1042"/>
    <s v="Customer 1042"/>
    <s v="Desk"/>
    <x v="2"/>
    <n v="2"/>
    <n v="6000"/>
    <n v="0.05"/>
    <x v="187"/>
    <n v="8456.6200000000008"/>
    <n v="2943.38"/>
    <s v="Hyderabad"/>
    <x v="2"/>
    <x v="1"/>
    <x v="1"/>
    <x v="1"/>
  </r>
  <r>
    <s v="ORD0736"/>
    <x v="32"/>
    <s v="CUST1053"/>
    <s v="Customer 1053"/>
    <s v="Backpack"/>
    <x v="5"/>
    <n v="4"/>
    <n v="1400"/>
    <n v="0.1"/>
    <x v="124"/>
    <n v="4364.4799999999996"/>
    <n v="675.52"/>
    <s v="Hyderabad"/>
    <x v="2"/>
    <x v="1"/>
    <x v="1"/>
    <x v="0"/>
  </r>
  <r>
    <s v="ORD0737"/>
    <x v="272"/>
    <s v="CUST1137"/>
    <s v="Customer 1137"/>
    <s v="Backpack"/>
    <x v="5"/>
    <n v="3"/>
    <n v="1400"/>
    <n v="0.15"/>
    <x v="202"/>
    <n v="3021.31"/>
    <n v="548.69000000000005"/>
    <s v="Hyderabad"/>
    <x v="2"/>
    <x v="1"/>
    <x v="3"/>
    <x v="0"/>
  </r>
  <r>
    <s v="ORD0738"/>
    <x v="130"/>
    <s v="CUST1249"/>
    <s v="Customer 1249"/>
    <s v="Backpack"/>
    <x v="5"/>
    <n v="4"/>
    <n v="1400"/>
    <n v="0.1"/>
    <x v="124"/>
    <n v="4591.18"/>
    <n v="448.82"/>
    <s v="Bengaluru"/>
    <x v="4"/>
    <x v="0"/>
    <x v="1"/>
    <x v="2"/>
  </r>
  <r>
    <s v="ORD0739"/>
    <x v="113"/>
    <s v="CUST1205"/>
    <s v="Customer 1205"/>
    <s v="Desk"/>
    <x v="2"/>
    <n v="4"/>
    <n v="6000"/>
    <n v="0.1"/>
    <x v="171"/>
    <n v="18720.080000000002"/>
    <n v="2879.92"/>
    <s v="Hyderabad"/>
    <x v="2"/>
    <x v="2"/>
    <x v="1"/>
    <x v="2"/>
  </r>
  <r>
    <s v="ORD0740"/>
    <x v="178"/>
    <s v="CUST1079"/>
    <s v="Customer 1079"/>
    <s v="Smartwatch"/>
    <x v="0"/>
    <n v="4"/>
    <n v="4500"/>
    <n v="0"/>
    <x v="103"/>
    <n v="11802.65"/>
    <n v="6197.35"/>
    <s v="Chennai"/>
    <x v="1"/>
    <x v="0"/>
    <x v="4"/>
    <x v="0"/>
  </r>
  <r>
    <s v="ORD0741"/>
    <x v="219"/>
    <s v="CUST1150"/>
    <s v="Customer 1150"/>
    <s v="Mixer Grinder"/>
    <x v="1"/>
    <n v="1"/>
    <n v="2800"/>
    <n v="0.1"/>
    <x v="104"/>
    <n v="2159.02"/>
    <n v="360.98"/>
    <s v="Mumbai"/>
    <x v="0"/>
    <x v="2"/>
    <x v="4"/>
    <x v="0"/>
  </r>
  <r>
    <s v="ORD0742"/>
    <x v="207"/>
    <s v="CUST1250"/>
    <s v="Customer 1250"/>
    <s v="Headphones"/>
    <x v="0"/>
    <n v="5"/>
    <n v="1800"/>
    <n v="0.15"/>
    <x v="78"/>
    <n v="6909.4"/>
    <n v="740.6"/>
    <s v="Chennai"/>
    <x v="1"/>
    <x v="1"/>
    <x v="3"/>
    <x v="0"/>
  </r>
  <r>
    <s v="ORD0743"/>
    <x v="104"/>
    <s v="CUST1095"/>
    <s v="Customer 1095"/>
    <s v="Smartphone"/>
    <x v="0"/>
    <n v="3"/>
    <n v="22000"/>
    <n v="0.15"/>
    <x v="198"/>
    <n v="48761.19"/>
    <n v="7338.81"/>
    <s v="Kolkata"/>
    <x v="5"/>
    <x v="1"/>
    <x v="1"/>
    <x v="0"/>
  </r>
  <r>
    <s v="ORD0744"/>
    <x v="154"/>
    <s v="CUST1056"/>
    <s v="Customer 1056"/>
    <s v="Mixer Grinder"/>
    <x v="1"/>
    <n v="3"/>
    <n v="2800"/>
    <n v="0.15"/>
    <x v="84"/>
    <n v="6866.21"/>
    <n v="273.79000000000002"/>
    <s v="Chennai"/>
    <x v="1"/>
    <x v="2"/>
    <x v="3"/>
    <x v="0"/>
  </r>
  <r>
    <s v="ORD0745"/>
    <x v="201"/>
    <s v="CUST1214"/>
    <s v="Customer 1214"/>
    <s v="Desk"/>
    <x v="2"/>
    <n v="2"/>
    <n v="6000"/>
    <n v="0.15"/>
    <x v="88"/>
    <n v="9420.6200000000008"/>
    <n v="779.38"/>
    <s v="Hyderabad"/>
    <x v="2"/>
    <x v="1"/>
    <x v="4"/>
    <x v="0"/>
  </r>
  <r>
    <s v="ORD0746"/>
    <x v="187"/>
    <s v="CUST1239"/>
    <s v="Customer 1239"/>
    <s v="Desk"/>
    <x v="2"/>
    <n v="4"/>
    <n v="6000"/>
    <n v="0.2"/>
    <x v="23"/>
    <n v="20899.73"/>
    <n v="-1699.73"/>
    <s v="Chennai"/>
    <x v="1"/>
    <x v="2"/>
    <x v="2"/>
    <x v="0"/>
  </r>
  <r>
    <s v="ORD0747"/>
    <x v="97"/>
    <s v="CUST1182"/>
    <s v="Customer 1182"/>
    <s v="Study Table Lamp"/>
    <x v="1"/>
    <n v="3"/>
    <n v="1200"/>
    <n v="0.15"/>
    <x v="154"/>
    <n v="2810.23"/>
    <n v="249.77"/>
    <s v="Mysuru"/>
    <x v="4"/>
    <x v="1"/>
    <x v="4"/>
    <x v="0"/>
  </r>
  <r>
    <s v="ORD0748"/>
    <x v="71"/>
    <s v="CUST1211"/>
    <s v="Customer 1211"/>
    <s v="Book"/>
    <x v="4"/>
    <n v="3"/>
    <n v="450"/>
    <n v="0.2"/>
    <x v="101"/>
    <n v="1134.05"/>
    <n v="-54.05"/>
    <s v="Bengaluru"/>
    <x v="4"/>
    <x v="0"/>
    <x v="1"/>
    <x v="0"/>
  </r>
  <r>
    <s v="ORD0749"/>
    <x v="208"/>
    <s v="CUST1068"/>
    <s v="Customer 1068"/>
    <s v="Gaming Mouse"/>
    <x v="0"/>
    <n v="2"/>
    <n v="1600"/>
    <n v="0"/>
    <x v="158"/>
    <n v="2300.92"/>
    <n v="899.08"/>
    <s v="Hyderabad"/>
    <x v="2"/>
    <x v="0"/>
    <x v="3"/>
    <x v="0"/>
  </r>
  <r>
    <s v="ORD0750"/>
    <x v="71"/>
    <s v="CUST1008"/>
    <s v="Customer 1008"/>
    <s v="Desk"/>
    <x v="2"/>
    <n v="4"/>
    <n v="6000"/>
    <n v="0.05"/>
    <x v="128"/>
    <n v="16258.84"/>
    <n v="6541.16"/>
    <s v="Mumbai"/>
    <x v="0"/>
    <x v="2"/>
    <x v="3"/>
    <x v="0"/>
  </r>
  <r>
    <s v="ORD0751"/>
    <x v="115"/>
    <s v="CUST1223"/>
    <s v="Customer 1223"/>
    <s v="Mixer Grinder"/>
    <x v="1"/>
    <n v="5"/>
    <n v="2800"/>
    <n v="0.15"/>
    <x v="44"/>
    <n v="9930.48"/>
    <n v="1969.52"/>
    <s v="Kolkata"/>
    <x v="5"/>
    <x v="0"/>
    <x v="3"/>
    <x v="2"/>
  </r>
  <r>
    <s v="ORD0752"/>
    <x v="264"/>
    <s v="CUST1217"/>
    <s v="Customer 1217"/>
    <s v="Smartwatch"/>
    <x v="0"/>
    <n v="3"/>
    <n v="4500"/>
    <n v="0.2"/>
    <x v="221"/>
    <n v="9580.86"/>
    <n v="1219.1400000000001"/>
    <s v="Bengaluru"/>
    <x v="4"/>
    <x v="0"/>
    <x v="2"/>
    <x v="0"/>
  </r>
  <r>
    <s v="ORD0753"/>
    <x v="267"/>
    <s v="CUST1014"/>
    <s v="Customer 1014"/>
    <s v="Coffee Maker"/>
    <x v="1"/>
    <n v="4"/>
    <n v="3500"/>
    <n v="0.05"/>
    <x v="6"/>
    <n v="9978"/>
    <n v="3322"/>
    <s v="Hyderabad"/>
    <x v="2"/>
    <x v="2"/>
    <x v="1"/>
    <x v="0"/>
  </r>
  <r>
    <s v="ORD0754"/>
    <x v="305"/>
    <s v="CUST1132"/>
    <s v="Customer 1132"/>
    <s v="Desk"/>
    <x v="2"/>
    <n v="3"/>
    <n v="6000"/>
    <n v="0.2"/>
    <x v="157"/>
    <n v="12502.39"/>
    <n v="1897.61"/>
    <s v="Chennai"/>
    <x v="1"/>
    <x v="0"/>
    <x v="4"/>
    <x v="0"/>
  </r>
  <r>
    <s v="ORD0755"/>
    <x v="270"/>
    <s v="CUST1070"/>
    <s v="Customer 1070"/>
    <s v="Shoes"/>
    <x v="3"/>
    <n v="5"/>
    <n v="2800"/>
    <n v="0.1"/>
    <x v="55"/>
    <n v="11307.13"/>
    <n v="1292.8699999999999"/>
    <s v="Pune"/>
    <x v="0"/>
    <x v="0"/>
    <x v="1"/>
    <x v="0"/>
  </r>
  <r>
    <s v="ORD0756"/>
    <x v="306"/>
    <s v="CUST1096"/>
    <s v="Customer 1096"/>
    <s v="Mixer Grinder"/>
    <x v="1"/>
    <n v="2"/>
    <n v="2800"/>
    <n v="0"/>
    <x v="56"/>
    <n v="4643.1000000000004"/>
    <n v="956.9"/>
    <s v="Pune"/>
    <x v="0"/>
    <x v="2"/>
    <x v="1"/>
    <x v="0"/>
  </r>
  <r>
    <s v="ORD0757"/>
    <x v="148"/>
    <s v="CUST1213"/>
    <s v="Customer 1213"/>
    <s v="Smartwatch"/>
    <x v="0"/>
    <n v="2"/>
    <n v="4500"/>
    <n v="0.05"/>
    <x v="8"/>
    <n v="6240.02"/>
    <n v="2309.98"/>
    <s v="Mumbai"/>
    <x v="0"/>
    <x v="0"/>
    <x v="0"/>
    <x v="2"/>
  </r>
  <r>
    <s v="ORD0758"/>
    <x v="307"/>
    <s v="CUST1210"/>
    <s v="Customer 1210"/>
    <s v="Smartwatch"/>
    <x v="0"/>
    <n v="4"/>
    <n v="4500"/>
    <n v="0.15"/>
    <x v="90"/>
    <n v="12243.3"/>
    <n v="3056.7"/>
    <s v="Chennai"/>
    <x v="1"/>
    <x v="1"/>
    <x v="3"/>
    <x v="0"/>
  </r>
  <r>
    <s v="ORD0759"/>
    <x v="47"/>
    <s v="CUST1045"/>
    <s v="Customer 1045"/>
    <s v="Desk"/>
    <x v="2"/>
    <n v="3"/>
    <n v="6000"/>
    <n v="0.05"/>
    <x v="83"/>
    <n v="14638.96"/>
    <n v="2461.04"/>
    <s v="Delhi"/>
    <x v="3"/>
    <x v="1"/>
    <x v="2"/>
    <x v="0"/>
  </r>
  <r>
    <s v="ORD0760"/>
    <x v="308"/>
    <s v="CUST1054"/>
    <s v="Customer 1054"/>
    <s v="Backpack"/>
    <x v="5"/>
    <n v="2"/>
    <n v="1400"/>
    <n v="0.05"/>
    <x v="29"/>
    <n v="1903.86"/>
    <n v="756.14"/>
    <s v="Hyderabad"/>
    <x v="2"/>
    <x v="1"/>
    <x v="3"/>
    <x v="2"/>
  </r>
  <r>
    <s v="ORD0761"/>
    <x v="65"/>
    <s v="CUST1011"/>
    <s v="Customer 1011"/>
    <s v="Smartwatch"/>
    <x v="0"/>
    <n v="1"/>
    <n v="4500"/>
    <n v="0"/>
    <x v="176"/>
    <n v="3128.22"/>
    <n v="1371.78"/>
    <s v="Kolkata"/>
    <x v="5"/>
    <x v="1"/>
    <x v="0"/>
    <x v="1"/>
  </r>
  <r>
    <s v="ORD0762"/>
    <x v="309"/>
    <s v="CUST1017"/>
    <s v="Customer 1017"/>
    <s v="Smartphone"/>
    <x v="0"/>
    <n v="4"/>
    <n v="22000"/>
    <n v="0"/>
    <x v="185"/>
    <n v="63305.31"/>
    <n v="24694.69"/>
    <s v="Bengaluru"/>
    <x v="4"/>
    <x v="1"/>
    <x v="2"/>
    <x v="0"/>
  </r>
  <r>
    <s v="ORD0763"/>
    <x v="277"/>
    <s v="CUST1008"/>
    <s v="Customer 1008"/>
    <s v="T-Shirt"/>
    <x v="3"/>
    <n v="5"/>
    <n v="800"/>
    <n v="0.05"/>
    <x v="222"/>
    <n v="2683.52"/>
    <n v="1116.48"/>
    <s v="Delhi"/>
    <x v="3"/>
    <x v="0"/>
    <x v="1"/>
    <x v="1"/>
  </r>
  <r>
    <s v="ORD0764"/>
    <x v="158"/>
    <s v="CUST1130"/>
    <s v="Customer 1130"/>
    <s v="Mixer Grinder"/>
    <x v="1"/>
    <n v="3"/>
    <n v="2800"/>
    <n v="0.05"/>
    <x v="126"/>
    <n v="6561.69"/>
    <n v="1418.31"/>
    <s v="Mumbai"/>
    <x v="0"/>
    <x v="1"/>
    <x v="0"/>
    <x v="0"/>
  </r>
  <r>
    <s v="ORD0765"/>
    <x v="310"/>
    <s v="CUST1250"/>
    <s v="Customer 1250"/>
    <s v="T-Shirt"/>
    <x v="3"/>
    <n v="2"/>
    <n v="800"/>
    <n v="0.1"/>
    <x v="95"/>
    <n v="1306.93"/>
    <n v="133.07"/>
    <s v="Bengaluru"/>
    <x v="4"/>
    <x v="1"/>
    <x v="0"/>
    <x v="2"/>
  </r>
  <r>
    <s v="ORD0766"/>
    <x v="277"/>
    <s v="CUST1173"/>
    <s v="Customer 1173"/>
    <s v="Keyboard"/>
    <x v="0"/>
    <n v="3"/>
    <n v="2200"/>
    <n v="0.2"/>
    <x v="163"/>
    <n v="5743.86"/>
    <n v="-463.86"/>
    <s v="Mysuru"/>
    <x v="4"/>
    <x v="1"/>
    <x v="1"/>
    <x v="0"/>
  </r>
  <r>
    <s v="ORD0767"/>
    <x v="39"/>
    <s v="CUST1029"/>
    <s v="Customer 1029"/>
    <s v="Study Table Lamp"/>
    <x v="1"/>
    <n v="2"/>
    <n v="1200"/>
    <n v="0.2"/>
    <x v="76"/>
    <n v="1980.3"/>
    <n v="-60.3"/>
    <s v="Kolkata"/>
    <x v="5"/>
    <x v="2"/>
    <x v="2"/>
    <x v="0"/>
  </r>
  <r>
    <s v="ORD0768"/>
    <x v="311"/>
    <s v="CUST1181"/>
    <s v="Customer 1181"/>
    <s v="Smartwatch"/>
    <x v="0"/>
    <n v="5"/>
    <n v="4500"/>
    <n v="0.05"/>
    <x v="100"/>
    <n v="16116.8"/>
    <n v="5258.2"/>
    <s v="Delhi"/>
    <x v="3"/>
    <x v="0"/>
    <x v="2"/>
    <x v="0"/>
  </r>
  <r>
    <s v="ORD0769"/>
    <x v="228"/>
    <s v="CUST1117"/>
    <s v="Customer 1117"/>
    <s v="Coffee Maker"/>
    <x v="1"/>
    <n v="4"/>
    <n v="3500"/>
    <n v="0"/>
    <x v="14"/>
    <n v="11033.25"/>
    <n v="2966.75"/>
    <s v="Pune"/>
    <x v="0"/>
    <x v="2"/>
    <x v="3"/>
    <x v="0"/>
  </r>
  <r>
    <s v="ORD0770"/>
    <x v="312"/>
    <s v="CUST1230"/>
    <s v="Customer 1230"/>
    <s v="Study Table Lamp"/>
    <x v="1"/>
    <n v="3"/>
    <n v="1200"/>
    <n v="0.15"/>
    <x v="154"/>
    <n v="3036.4"/>
    <n v="23.6"/>
    <s v="Chennai"/>
    <x v="1"/>
    <x v="2"/>
    <x v="1"/>
    <x v="0"/>
  </r>
  <r>
    <s v="ORD0771"/>
    <x v="11"/>
    <s v="CUST1134"/>
    <s v="Customer 1134"/>
    <s v="Laptop"/>
    <x v="0"/>
    <n v="4"/>
    <n v="55000"/>
    <n v="0"/>
    <x v="107"/>
    <n v="176322.54"/>
    <n v="43677.46"/>
    <s v="Mysuru"/>
    <x v="4"/>
    <x v="1"/>
    <x v="2"/>
    <x v="0"/>
  </r>
  <r>
    <s v="ORD0772"/>
    <x v="249"/>
    <s v="CUST1017"/>
    <s v="Customer 1017"/>
    <s v="Book"/>
    <x v="4"/>
    <n v="4"/>
    <n v="450"/>
    <n v="0.2"/>
    <x v="95"/>
    <n v="1320.58"/>
    <n v="119.42"/>
    <s v="Hyderabad"/>
    <x v="2"/>
    <x v="1"/>
    <x v="1"/>
    <x v="0"/>
  </r>
  <r>
    <s v="ORD0773"/>
    <x v="170"/>
    <s v="CUST1072"/>
    <s v="Customer 1072"/>
    <s v="Book"/>
    <x v="4"/>
    <n v="1"/>
    <n v="450"/>
    <n v="0.05"/>
    <x v="223"/>
    <n v="371.66"/>
    <n v="55.84"/>
    <s v="Mysuru"/>
    <x v="4"/>
    <x v="0"/>
    <x v="0"/>
    <x v="0"/>
  </r>
  <r>
    <s v="ORD0774"/>
    <x v="36"/>
    <s v="CUST1125"/>
    <s v="Customer 1125"/>
    <s v="Book"/>
    <x v="4"/>
    <n v="3"/>
    <n v="450"/>
    <n v="0.15"/>
    <x v="156"/>
    <n v="1036.29"/>
    <n v="111.21"/>
    <s v="Kolkata"/>
    <x v="5"/>
    <x v="1"/>
    <x v="3"/>
    <x v="0"/>
  </r>
  <r>
    <s v="ORD0775"/>
    <x v="313"/>
    <s v="CUST1161"/>
    <s v="Customer 1161"/>
    <s v="Smartwatch"/>
    <x v="0"/>
    <n v="3"/>
    <n v="4500"/>
    <n v="0.15"/>
    <x v="224"/>
    <n v="11701.16"/>
    <n v="-226.16"/>
    <s v="Mumbai"/>
    <x v="0"/>
    <x v="1"/>
    <x v="2"/>
    <x v="2"/>
  </r>
  <r>
    <s v="ORD0776"/>
    <x v="294"/>
    <s v="CUST1249"/>
    <s v="Customer 1249"/>
    <s v="Smartphone"/>
    <x v="0"/>
    <n v="1"/>
    <n v="22000"/>
    <n v="0.15"/>
    <x v="143"/>
    <n v="15206.22"/>
    <n v="3493.78"/>
    <s v="Bengaluru"/>
    <x v="4"/>
    <x v="0"/>
    <x v="1"/>
    <x v="0"/>
  </r>
  <r>
    <s v="ORD0777"/>
    <x v="258"/>
    <s v="CUST1170"/>
    <s v="Customer 1170"/>
    <s v="Desk"/>
    <x v="2"/>
    <n v="5"/>
    <n v="6000"/>
    <n v="0.2"/>
    <x v="99"/>
    <n v="24686.11"/>
    <n v="-686.11"/>
    <s v="Chennai"/>
    <x v="1"/>
    <x v="2"/>
    <x v="3"/>
    <x v="0"/>
  </r>
  <r>
    <s v="ORD0778"/>
    <x v="169"/>
    <s v="CUST1139"/>
    <s v="Customer 1139"/>
    <s v="Desk"/>
    <x v="2"/>
    <n v="4"/>
    <n v="6000"/>
    <n v="0.15"/>
    <x v="180"/>
    <n v="17496.759999999998"/>
    <n v="2903.24"/>
    <s v="Pune"/>
    <x v="0"/>
    <x v="0"/>
    <x v="0"/>
    <x v="0"/>
  </r>
  <r>
    <s v="ORD0779"/>
    <x v="314"/>
    <s v="CUST1081"/>
    <s v="Customer 1081"/>
    <s v="Smartphone"/>
    <x v="0"/>
    <n v="4"/>
    <n v="22000"/>
    <n v="0"/>
    <x v="185"/>
    <n v="74462.179999999993"/>
    <n v="13537.82"/>
    <s v="Mysuru"/>
    <x v="4"/>
    <x v="2"/>
    <x v="3"/>
    <x v="0"/>
  </r>
  <r>
    <s v="ORD0780"/>
    <x v="259"/>
    <s v="CUST1227"/>
    <s v="Customer 1227"/>
    <s v="Smartphone"/>
    <x v="0"/>
    <n v="2"/>
    <n v="22000"/>
    <n v="0.2"/>
    <x v="175"/>
    <n v="35745.32"/>
    <n v="-545.32000000000005"/>
    <s v="Pune"/>
    <x v="0"/>
    <x v="2"/>
    <x v="3"/>
    <x v="0"/>
  </r>
  <r>
    <s v="ORD0781"/>
    <x v="295"/>
    <s v="CUST1169"/>
    <s v="Customer 1169"/>
    <s v="Desk"/>
    <x v="2"/>
    <n v="4"/>
    <n v="6000"/>
    <n v="0.15"/>
    <x v="180"/>
    <n v="18656.89"/>
    <n v="1743.11"/>
    <s v="Mysuru"/>
    <x v="4"/>
    <x v="0"/>
    <x v="0"/>
    <x v="0"/>
  </r>
  <r>
    <s v="ORD0782"/>
    <x v="44"/>
    <s v="CUST1101"/>
    <s v="Customer 1101"/>
    <s v="Keyboard"/>
    <x v="0"/>
    <n v="5"/>
    <n v="2200"/>
    <n v="0.05"/>
    <x v="141"/>
    <n v="7816.38"/>
    <n v="2633.62"/>
    <s v="Bengaluru"/>
    <x v="4"/>
    <x v="0"/>
    <x v="3"/>
    <x v="1"/>
  </r>
  <r>
    <s v="ORD0783"/>
    <x v="107"/>
    <s v="CUST1152"/>
    <s v="Customer 1152"/>
    <s v="Mixer Grinder"/>
    <x v="1"/>
    <n v="3"/>
    <n v="2800"/>
    <n v="0.1"/>
    <x v="111"/>
    <n v="5547.17"/>
    <n v="2012.83"/>
    <s v="Bengaluru"/>
    <x v="4"/>
    <x v="2"/>
    <x v="1"/>
    <x v="2"/>
  </r>
  <r>
    <s v="ORD0784"/>
    <x v="258"/>
    <s v="CUST1089"/>
    <s v="Customer 1089"/>
    <s v="Laptop"/>
    <x v="0"/>
    <n v="3"/>
    <n v="55000"/>
    <n v="0.15"/>
    <x v="138"/>
    <n v="144894.32999999999"/>
    <n v="-4644.33"/>
    <s v="Kolkata"/>
    <x v="5"/>
    <x v="2"/>
    <x v="1"/>
    <x v="0"/>
  </r>
  <r>
    <s v="ORD0785"/>
    <x v="237"/>
    <s v="CUST1152"/>
    <s v="Customer 1152"/>
    <s v="Jeans"/>
    <x v="3"/>
    <n v="2"/>
    <n v="1800"/>
    <n v="0.05"/>
    <x v="51"/>
    <n v="2410.33"/>
    <n v="1009.67"/>
    <s v="Pune"/>
    <x v="0"/>
    <x v="0"/>
    <x v="2"/>
    <x v="0"/>
  </r>
  <r>
    <s v="ORD0786"/>
    <x v="20"/>
    <s v="CUST1010"/>
    <s v="Customer 1010"/>
    <s v="Smartwatch"/>
    <x v="0"/>
    <n v="3"/>
    <n v="4500"/>
    <n v="0.05"/>
    <x v="39"/>
    <n v="10206.120000000001"/>
    <n v="2618.88"/>
    <s v="Delhi"/>
    <x v="3"/>
    <x v="2"/>
    <x v="0"/>
    <x v="1"/>
  </r>
  <r>
    <s v="ORD0787"/>
    <x v="273"/>
    <s v="CUST1151"/>
    <s v="Customer 1151"/>
    <s v="Study Table Lamp"/>
    <x v="1"/>
    <n v="3"/>
    <n v="1200"/>
    <n v="0"/>
    <x v="25"/>
    <n v="2358.41"/>
    <n v="1241.5899999999999"/>
    <s v="Mysuru"/>
    <x v="4"/>
    <x v="2"/>
    <x v="3"/>
    <x v="1"/>
  </r>
  <r>
    <s v="ORD0788"/>
    <x v="299"/>
    <s v="CUST1026"/>
    <s v="Customer 1026"/>
    <s v="Book"/>
    <x v="4"/>
    <n v="3"/>
    <n v="450"/>
    <n v="0.2"/>
    <x v="101"/>
    <n v="1092.01"/>
    <n v="-12.01"/>
    <s v="Mysuru"/>
    <x v="4"/>
    <x v="1"/>
    <x v="1"/>
    <x v="0"/>
  </r>
  <r>
    <s v="ORD0789"/>
    <x v="174"/>
    <s v="CUST1249"/>
    <s v="Customer 1249"/>
    <s v="Coffee Maker"/>
    <x v="1"/>
    <n v="2"/>
    <n v="3500"/>
    <n v="0.2"/>
    <x v="56"/>
    <n v="5251.95"/>
    <n v="348.05"/>
    <s v="Delhi"/>
    <x v="3"/>
    <x v="2"/>
    <x v="2"/>
    <x v="1"/>
  </r>
  <r>
    <s v="ORD0790"/>
    <x v="303"/>
    <s v="CUST1147"/>
    <s v="Customer 1147"/>
    <s v="T-Shirt"/>
    <x v="3"/>
    <n v="3"/>
    <n v="800"/>
    <n v="0.1"/>
    <x v="168"/>
    <n v="1781.92"/>
    <n v="378.08"/>
    <s v="Pune"/>
    <x v="0"/>
    <x v="1"/>
    <x v="0"/>
    <x v="2"/>
  </r>
  <r>
    <s v="ORD0791"/>
    <x v="106"/>
    <s v="CUST1070"/>
    <s v="Customer 1070"/>
    <s v="Headphones"/>
    <x v="0"/>
    <n v="5"/>
    <n v="1800"/>
    <n v="0"/>
    <x v="72"/>
    <n v="5989.25"/>
    <n v="3010.75"/>
    <s v="Delhi"/>
    <x v="3"/>
    <x v="0"/>
    <x v="3"/>
    <x v="0"/>
  </r>
  <r>
    <s v="ORD0792"/>
    <x v="60"/>
    <s v="CUST1130"/>
    <s v="Customer 1130"/>
    <s v="T-Shirt"/>
    <x v="3"/>
    <n v="3"/>
    <n v="800"/>
    <n v="0"/>
    <x v="193"/>
    <n v="2003.88"/>
    <n v="396.12"/>
    <s v="Pune"/>
    <x v="0"/>
    <x v="2"/>
    <x v="0"/>
    <x v="0"/>
  </r>
  <r>
    <s v="ORD0793"/>
    <x v="68"/>
    <s v="CUST1172"/>
    <s v="Customer 1172"/>
    <s v="T-Shirt"/>
    <x v="3"/>
    <n v="4"/>
    <n v="800"/>
    <n v="0.15"/>
    <x v="46"/>
    <n v="2641.89"/>
    <n v="78.11"/>
    <s v="Mysuru"/>
    <x v="4"/>
    <x v="1"/>
    <x v="2"/>
    <x v="2"/>
  </r>
  <r>
    <s v="ORD0794"/>
    <x v="315"/>
    <s v="CUST1069"/>
    <s v="Customer 1069"/>
    <s v="Shoes"/>
    <x v="3"/>
    <n v="5"/>
    <n v="2800"/>
    <n v="0.15"/>
    <x v="44"/>
    <n v="12117.66"/>
    <n v="-217.66"/>
    <s v="Mysuru"/>
    <x v="4"/>
    <x v="0"/>
    <x v="0"/>
    <x v="0"/>
  </r>
  <r>
    <s v="ORD0795"/>
    <x v="131"/>
    <s v="CUST1038"/>
    <s v="Customer 1038"/>
    <s v="Smartphone"/>
    <x v="0"/>
    <n v="5"/>
    <n v="22000"/>
    <n v="0.05"/>
    <x v="105"/>
    <n v="77581.460000000006"/>
    <n v="26918.54"/>
    <s v="Mysuru"/>
    <x v="4"/>
    <x v="0"/>
    <x v="1"/>
    <x v="0"/>
  </r>
  <r>
    <s v="ORD0796"/>
    <x v="183"/>
    <s v="CUST1217"/>
    <s v="Customer 1217"/>
    <s v="Study Table Lamp"/>
    <x v="1"/>
    <n v="3"/>
    <n v="1200"/>
    <n v="0"/>
    <x v="25"/>
    <n v="2681.5"/>
    <n v="918.5"/>
    <s v="Mumbai"/>
    <x v="0"/>
    <x v="2"/>
    <x v="4"/>
    <x v="0"/>
  </r>
  <r>
    <s v="ORD0797"/>
    <x v="62"/>
    <s v="CUST1050"/>
    <s v="Customer 1050"/>
    <s v="Jeans"/>
    <x v="3"/>
    <n v="4"/>
    <n v="1800"/>
    <n v="0.05"/>
    <x v="53"/>
    <n v="4725.88"/>
    <n v="2114.12"/>
    <s v="Hyderabad"/>
    <x v="2"/>
    <x v="2"/>
    <x v="3"/>
    <x v="0"/>
  </r>
  <r>
    <s v="ORD0798"/>
    <x v="242"/>
    <s v="CUST1070"/>
    <s v="Customer 1070"/>
    <s v="Study Table Lamp"/>
    <x v="1"/>
    <n v="4"/>
    <n v="1200"/>
    <n v="0"/>
    <x v="19"/>
    <n v="3270.62"/>
    <n v="1529.38"/>
    <s v="Hyderabad"/>
    <x v="2"/>
    <x v="2"/>
    <x v="1"/>
    <x v="2"/>
  </r>
  <r>
    <s v="ORD0799"/>
    <x v="20"/>
    <s v="CUST1221"/>
    <s v="Customer 1221"/>
    <s v="Shoes"/>
    <x v="3"/>
    <n v="1"/>
    <n v="2800"/>
    <n v="0.15"/>
    <x v="43"/>
    <n v="2397.35"/>
    <n v="-17.350000000000001"/>
    <s v="Bengaluru"/>
    <x v="4"/>
    <x v="2"/>
    <x v="0"/>
    <x v="0"/>
  </r>
  <r>
    <s v="ORD0800"/>
    <x v="19"/>
    <s v="CUST1102"/>
    <s v="Customer 1102"/>
    <s v="Headphones"/>
    <x v="0"/>
    <n v="4"/>
    <n v="1800"/>
    <n v="0.1"/>
    <x v="87"/>
    <n v="6241.88"/>
    <n v="238.12"/>
    <s v="Chennai"/>
    <x v="1"/>
    <x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AEF03-9B65-4090-BEA8-28127841A21D}" name="PivotTable1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6" firstHeaderRow="1" firstDataRow="1" firstDataCol="1"/>
  <pivotFields count="18"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7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75FC3A-544C-4B46-A50C-336477391AC8}" name="PivotTable2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0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8">
        <item x="5"/>
        <item x="4"/>
        <item x="0"/>
        <item x="3"/>
        <item x="2"/>
        <item x="1"/>
        <item m="1"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73BDA-93F7-4615-8C5C-5A512D66C145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8">
        <item x="5"/>
        <item x="4"/>
        <item x="0"/>
        <item x="3"/>
        <item x="2"/>
        <item x="1"/>
        <item m="1"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DC210-460B-43A6-92D0-A11AB470EF0F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18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 defaultSubtota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6E963-5A8A-4347-ACCB-0639DAEFCFBC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1" firstHeaderRow="1" firstDataRow="1" firstDataCol="1"/>
  <pivotFields count="18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26">
        <item x="199"/>
        <item x="132"/>
        <item x="184"/>
        <item x="81"/>
        <item x="223"/>
        <item x="207"/>
        <item x="137"/>
        <item x="206"/>
        <item x="80"/>
        <item x="179"/>
        <item x="133"/>
        <item x="203"/>
        <item x="41"/>
        <item x="120"/>
        <item x="101"/>
        <item x="152"/>
        <item x="75"/>
        <item x="156"/>
        <item x="1"/>
        <item x="195"/>
        <item x="147"/>
        <item x="20"/>
        <item x="93"/>
        <item x="149"/>
        <item x="153"/>
        <item x="113"/>
        <item x="71"/>
        <item x="95"/>
        <item x="70"/>
        <item x="68"/>
        <item x="45"/>
        <item x="17"/>
        <item x="57"/>
        <item x="188"/>
        <item x="3"/>
        <item x="58"/>
        <item x="12"/>
        <item x="76"/>
        <item x="140"/>
        <item x="4"/>
        <item x="189"/>
        <item x="201"/>
        <item x="168"/>
        <item x="150"/>
        <item x="85"/>
        <item x="121"/>
        <item x="172"/>
        <item x="43"/>
        <item x="193"/>
        <item x="104"/>
        <item x="123"/>
        <item x="29"/>
        <item x="46"/>
        <item x="109"/>
        <item x="47"/>
        <item x="102"/>
        <item x="216"/>
        <item x="154"/>
        <item x="42"/>
        <item x="158"/>
        <item x="77"/>
        <item x="9"/>
        <item x="127"/>
        <item x="214"/>
        <item x="51"/>
        <item x="28"/>
        <item x="202"/>
        <item x="25"/>
        <item x="18"/>
        <item x="31"/>
        <item x="222"/>
        <item x="66"/>
        <item x="98"/>
        <item x="50"/>
        <item x="162"/>
        <item x="0"/>
        <item x="91"/>
        <item x="118"/>
        <item x="125"/>
        <item x="186"/>
        <item x="37"/>
        <item x="178"/>
        <item x="15"/>
        <item x="176"/>
        <item x="170"/>
        <item x="114"/>
        <item x="117"/>
        <item x="19"/>
        <item x="38"/>
        <item x="124"/>
        <item x="49"/>
        <item x="194"/>
        <item x="36"/>
        <item x="163"/>
        <item x="35"/>
        <item x="112"/>
        <item x="129"/>
        <item x="56"/>
        <item x="167"/>
        <item x="67"/>
        <item x="106"/>
        <item x="220"/>
        <item x="10"/>
        <item x="159"/>
        <item x="92"/>
        <item x="62"/>
        <item x="89"/>
        <item x="183"/>
        <item x="5"/>
        <item x="48"/>
        <item x="87"/>
        <item x="32"/>
        <item x="134"/>
        <item x="130"/>
        <item x="79"/>
        <item x="53"/>
        <item x="108"/>
        <item x="110"/>
        <item x="142"/>
        <item x="84"/>
        <item x="26"/>
        <item x="161"/>
        <item x="65"/>
        <item x="111"/>
        <item x="213"/>
        <item x="78"/>
        <item x="151"/>
        <item x="126"/>
        <item x="21"/>
        <item x="64"/>
        <item x="22"/>
        <item x="119"/>
        <item x="8"/>
        <item x="155"/>
        <item x="146"/>
        <item x="63"/>
        <item x="72"/>
        <item x="208"/>
        <item x="74"/>
        <item x="135"/>
        <item x="145"/>
        <item x="174"/>
        <item x="219"/>
        <item x="88"/>
        <item x="141"/>
        <item x="211"/>
        <item x="54"/>
        <item x="221"/>
        <item x="204"/>
        <item x="40"/>
        <item x="187"/>
        <item x="224"/>
        <item x="44"/>
        <item x="16"/>
        <item x="55"/>
        <item x="33"/>
        <item x="39"/>
        <item x="6"/>
        <item x="27"/>
        <item x="14"/>
        <item x="2"/>
        <item x="157"/>
        <item x="160"/>
        <item x="96"/>
        <item x="90"/>
        <item x="7"/>
        <item x="196"/>
        <item x="83"/>
        <item x="217"/>
        <item x="136"/>
        <item x="103"/>
        <item x="143"/>
        <item x="173"/>
        <item x="23"/>
        <item x="192"/>
        <item x="215"/>
        <item x="180"/>
        <item x="100"/>
        <item x="171"/>
        <item x="148"/>
        <item x="13"/>
        <item x="128"/>
        <item x="99"/>
        <item x="166"/>
        <item x="86"/>
        <item x="205"/>
        <item x="59"/>
        <item x="11"/>
        <item x="175"/>
        <item x="210"/>
        <item x="61"/>
        <item x="197"/>
        <item x="218"/>
        <item x="181"/>
        <item x="131"/>
        <item x="200"/>
        <item x="190"/>
        <item x="34"/>
        <item x="191"/>
        <item x="198"/>
        <item x="209"/>
        <item x="94"/>
        <item x="24"/>
        <item x="182"/>
        <item x="144"/>
        <item x="115"/>
        <item x="169"/>
        <item x="185"/>
        <item x="122"/>
        <item x="97"/>
        <item x="105"/>
        <item x="82"/>
        <item x="73"/>
        <item x="138"/>
        <item x="139"/>
        <item x="116"/>
        <item x="212"/>
        <item x="69"/>
        <item x="60"/>
        <item x="177"/>
        <item x="107"/>
        <item x="52"/>
        <item x="30"/>
        <item x="164"/>
        <item x="165"/>
        <item t="default"/>
      </items>
    </pivotField>
    <pivotField showAll="0"/>
    <pivotField showAll="0"/>
    <pivotField showAll="0"/>
    <pivotField axis="axisRow" showAll="0">
      <items count="8">
        <item x="3"/>
        <item x="4"/>
        <item x="0"/>
        <item x="1"/>
        <item x="2"/>
        <item x="6"/>
        <item x="5"/>
        <item t="default"/>
      </items>
    </pivotField>
    <pivotField showAll="0"/>
    <pivotField showAll="0"/>
    <pivotField showAll="0"/>
    <pivotField showAll="0" defaultSubtotal="0"/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DC82C-0FF5-41C7-AC15-D29DF101E738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8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1"/>
        <item x="0"/>
        <item x="5"/>
        <item x="2"/>
        <item t="default"/>
      </items>
    </pivotField>
    <pivotField showAll="0"/>
    <pivotField showAll="0" defaultSubtota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C665B-26A9-4CB7-8DB8-6826AEE99C59}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18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 defaultSubtota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A69BE-6635-47AE-B95F-B52720B8F147}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18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 defaultSubtota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1F084-AFC8-497C-A932-BE2BDD3B5A5E}" name="Table1" displayName="Table1" ref="A1:Q801" totalsRowShown="0" headerRowDxfId="26" dataDxfId="24" headerRowBorderDxfId="25" tableBorderDxfId="23">
  <autoFilter ref="A1:Q801" xr:uid="{6EA9ACAF-A5E9-4DAB-9B46-01F731641D92}"/>
  <tableColumns count="17">
    <tableColumn id="1" xr3:uid="{FCC8F476-A6E8-48DC-BC8F-146D76A544AC}" name="Order_ID" dataDxfId="22"/>
    <tableColumn id="2" xr3:uid="{72D2E175-75FC-4888-8464-F66CD4BC7688}" name="Order_Date" dataDxfId="21"/>
    <tableColumn id="3" xr3:uid="{B216D659-84FC-483B-9721-7412E3A312F5}" name="Customer_ID" dataDxfId="20"/>
    <tableColumn id="4" xr3:uid="{F21C07CB-184B-40BA-A287-570DCF5CB1E9}" name="Customer_Name" dataDxfId="19"/>
    <tableColumn id="5" xr3:uid="{335F7446-BBCD-4858-8917-AC21EA611C61}" name="Product" dataDxfId="18"/>
    <tableColumn id="6" xr3:uid="{AA861DDB-75D3-4A76-995A-F51BEFFCC002}" name="Category" dataDxfId="17"/>
    <tableColumn id="7" xr3:uid="{F1FCE02C-4E2E-42ED-9E31-8AEE357CE1EE}" name="Quantity" dataDxfId="16"/>
    <tableColumn id="8" xr3:uid="{B3F696CC-1BB8-4569-BFD1-9FAF56894769}" name="Unit_Price" dataDxfId="15"/>
    <tableColumn id="9" xr3:uid="{B1FA5DF6-A66F-4FD8-861E-4E9D03288F2B}" name="Discount" dataDxfId="14"/>
    <tableColumn id="10" xr3:uid="{87F901E1-C59B-44A7-A283-6CE72867E75C}" name="Sales" dataDxfId="13"/>
    <tableColumn id="11" xr3:uid="{1336C790-E94B-4109-8785-7E153EFA3CE2}" name="Cost" dataDxfId="12"/>
    <tableColumn id="12" xr3:uid="{BB800372-6964-4FCF-939F-24542C423B62}" name="Profit" dataDxfId="11"/>
    <tableColumn id="13" xr3:uid="{0B5F2CA5-DD07-4E27-AD1F-214387D0E222}" name="City" dataDxfId="10"/>
    <tableColumn id="14" xr3:uid="{D7D9252E-1E2D-43DF-944C-7A884D2C3E7D}" name="State" dataDxfId="9"/>
    <tableColumn id="15" xr3:uid="{99C1D6E0-1E04-4320-973F-B183F953FA93}" name="Customer_Segment" dataDxfId="8"/>
    <tableColumn id="16" xr3:uid="{0F169631-67B1-4F8B-BC48-9124FAD711F4}" name="Payment_Method" dataDxfId="7"/>
    <tableColumn id="17" xr3:uid="{58D23332-D231-4930-8244-3455D5FF32BA}" name="Order_Status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EA8BA6-56EF-4315-B640-45EFDEA87ABA}" name="Table2" displayName="Table2" ref="A1:D10" dataDxfId="5">
  <autoFilter ref="A1:D10" xr:uid="{626D5543-DF60-4F58-A1A7-CB383E4CD8D1}"/>
  <tableColumns count="4">
    <tableColumn id="1" xr3:uid="{8E9D5AD5-FAA5-4615-9C5B-D7E76445FFFE}" name="No." totalsRowLabel="Total" dataDxfId="4"/>
    <tableColumn id="2" xr3:uid="{DA47DD31-5500-493B-BEB2-2DE9D5AEC916}" name="                Insights" dataDxfId="3"/>
    <tableColumn id="3" xr3:uid="{FEC8E41F-1F9B-4E0D-A365-EE8F326FAE93}" name="          Finding" dataDxfId="2" totalsRowDxfId="1"/>
    <tableColumn id="4" xr3:uid="{C949887F-BCAD-4FD7-8CD9-2D3CB234FA75}" name="               Business Explanation" totalsRowFunction="cou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A5CA-EBAD-4460-AE1E-7AB79B18C5EF}">
  <sheetPr codeName="Sheet1"/>
  <dimension ref="A3:K19"/>
  <sheetViews>
    <sheetView zoomScaleNormal="100" workbookViewId="0">
      <selection activeCell="L3" sqref="L3"/>
    </sheetView>
  </sheetViews>
  <sheetFormatPr defaultRowHeight="15" x14ac:dyDescent="0.25"/>
  <cols>
    <col min="1" max="1" width="13.140625" bestFit="1" customWidth="1"/>
    <col min="2" max="2" width="12.140625" bestFit="1" customWidth="1"/>
    <col min="11" max="11" width="15" bestFit="1" customWidth="1"/>
  </cols>
  <sheetData>
    <row r="3" spans="1:2" x14ac:dyDescent="0.25">
      <c r="A3" s="8" t="s">
        <v>1357</v>
      </c>
      <c r="B3" t="s">
        <v>1371</v>
      </c>
    </row>
    <row r="4" spans="1:2" x14ac:dyDescent="0.25">
      <c r="A4" s="9" t="s">
        <v>1359</v>
      </c>
      <c r="B4" s="10">
        <v>2097395</v>
      </c>
    </row>
    <row r="5" spans="1:2" x14ac:dyDescent="0.25">
      <c r="A5" s="9" t="s">
        <v>1360</v>
      </c>
      <c r="B5" s="10">
        <v>1101545</v>
      </c>
    </row>
    <row r="6" spans="1:2" x14ac:dyDescent="0.25">
      <c r="A6" s="9" t="s">
        <v>1361</v>
      </c>
      <c r="B6" s="10">
        <v>1257692.5</v>
      </c>
    </row>
    <row r="7" spans="1:2" x14ac:dyDescent="0.25">
      <c r="A7" s="9" t="s">
        <v>1362</v>
      </c>
      <c r="B7" s="10">
        <v>1247200</v>
      </c>
    </row>
    <row r="8" spans="1:2" x14ac:dyDescent="0.25">
      <c r="A8" s="9" t="s">
        <v>1363</v>
      </c>
      <c r="B8" s="10">
        <v>1130565</v>
      </c>
    </row>
    <row r="9" spans="1:2" x14ac:dyDescent="0.25">
      <c r="A9" s="9" t="s">
        <v>1364</v>
      </c>
      <c r="B9" s="10">
        <v>956645</v>
      </c>
    </row>
    <row r="10" spans="1:2" x14ac:dyDescent="0.25">
      <c r="A10" s="9" t="s">
        <v>1365</v>
      </c>
      <c r="B10" s="10">
        <v>1433220</v>
      </c>
    </row>
    <row r="11" spans="1:2" x14ac:dyDescent="0.25">
      <c r="A11" s="9" t="s">
        <v>1366</v>
      </c>
      <c r="B11" s="10">
        <v>1678402.5</v>
      </c>
    </row>
    <row r="12" spans="1:2" x14ac:dyDescent="0.25">
      <c r="A12" s="9" t="s">
        <v>1367</v>
      </c>
      <c r="B12" s="10">
        <v>1613437.5</v>
      </c>
    </row>
    <row r="13" spans="1:2" x14ac:dyDescent="0.25">
      <c r="A13" s="9" t="s">
        <v>1368</v>
      </c>
      <c r="B13" s="10">
        <v>1343955</v>
      </c>
    </row>
    <row r="14" spans="1:2" x14ac:dyDescent="0.25">
      <c r="A14" s="9" t="s">
        <v>1369</v>
      </c>
      <c r="B14" s="10">
        <v>964255</v>
      </c>
    </row>
    <row r="15" spans="1:2" x14ac:dyDescent="0.25">
      <c r="A15" s="9" t="s">
        <v>1370</v>
      </c>
      <c r="B15" s="10">
        <v>1302212.5</v>
      </c>
    </row>
    <row r="16" spans="1:2" x14ac:dyDescent="0.25">
      <c r="A16" s="9" t="s">
        <v>1358</v>
      </c>
      <c r="B16" s="10">
        <v>16126525</v>
      </c>
    </row>
    <row r="19" spans="11:11" x14ac:dyDescent="0.25">
      <c r="K19" s="21"/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82F5-42A0-4325-BA05-7CB61384510B}">
  <sheetPr codeName="Sheet2"/>
  <dimension ref="A3:B10"/>
  <sheetViews>
    <sheetView workbookViewId="0">
      <selection activeCell="B6" sqref="B6"/>
    </sheetView>
  </sheetViews>
  <sheetFormatPr defaultRowHeight="15" x14ac:dyDescent="0.25"/>
  <cols>
    <col min="1" max="1" width="15.42578125" bestFit="1" customWidth="1"/>
    <col min="2" max="2" width="12.140625" bestFit="1" customWidth="1"/>
  </cols>
  <sheetData>
    <row r="3" spans="1:2" x14ac:dyDescent="0.25">
      <c r="A3" s="8" t="s">
        <v>1357</v>
      </c>
      <c r="B3" t="s">
        <v>1371</v>
      </c>
    </row>
    <row r="4" spans="1:2" x14ac:dyDescent="0.25">
      <c r="A4" s="9" t="s">
        <v>108</v>
      </c>
      <c r="B4" s="10">
        <v>203210</v>
      </c>
    </row>
    <row r="5" spans="1:2" x14ac:dyDescent="0.25">
      <c r="A5" s="9" t="s">
        <v>86</v>
      </c>
      <c r="B5" s="10">
        <v>79695</v>
      </c>
    </row>
    <row r="6" spans="1:2" x14ac:dyDescent="0.25">
      <c r="A6" s="9" t="s">
        <v>21</v>
      </c>
      <c r="B6" s="10">
        <v>12489650</v>
      </c>
    </row>
    <row r="7" spans="1:2" x14ac:dyDescent="0.25">
      <c r="A7" s="9" t="s">
        <v>94</v>
      </c>
      <c r="B7" s="10">
        <v>683490</v>
      </c>
    </row>
    <row r="8" spans="1:2" x14ac:dyDescent="0.25">
      <c r="A8" s="9" t="s">
        <v>42</v>
      </c>
      <c r="B8" s="10">
        <v>1644000</v>
      </c>
    </row>
    <row r="9" spans="1:2" x14ac:dyDescent="0.25">
      <c r="A9" s="9" t="s">
        <v>31</v>
      </c>
      <c r="B9" s="10">
        <v>1026480</v>
      </c>
    </row>
    <row r="10" spans="1:2" x14ac:dyDescent="0.25">
      <c r="A10" s="9" t="s">
        <v>1358</v>
      </c>
      <c r="B10" s="10">
        <v>16126525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58AF-1722-4E0D-84DE-C102650F5E10}">
  <sheetPr codeName="Sheet3"/>
  <dimension ref="A3:B10"/>
  <sheetViews>
    <sheetView workbookViewId="0">
      <selection activeCell="B6" sqref="B6"/>
    </sheetView>
  </sheetViews>
  <sheetFormatPr defaultRowHeight="15" x14ac:dyDescent="0.25"/>
  <cols>
    <col min="1" max="1" width="15.42578125" bestFit="1" customWidth="1"/>
    <col min="2" max="2" width="12.5703125" bestFit="1" customWidth="1"/>
  </cols>
  <sheetData>
    <row r="3" spans="1:2" x14ac:dyDescent="0.25">
      <c r="A3" s="8" t="s">
        <v>1357</v>
      </c>
      <c r="B3" t="s">
        <v>1372</v>
      </c>
    </row>
    <row r="4" spans="1:2" x14ac:dyDescent="0.25">
      <c r="A4" s="9" t="s">
        <v>108</v>
      </c>
      <c r="B4" s="10">
        <v>36899.68</v>
      </c>
    </row>
    <row r="5" spans="1:2" x14ac:dyDescent="0.25">
      <c r="A5" s="9" t="s">
        <v>86</v>
      </c>
      <c r="B5" s="10">
        <v>9935.630000000001</v>
      </c>
    </row>
    <row r="6" spans="1:2" x14ac:dyDescent="0.25">
      <c r="A6" s="9" t="s">
        <v>21</v>
      </c>
      <c r="B6" s="10">
        <v>1878428.2399999995</v>
      </c>
    </row>
    <row r="7" spans="1:2" x14ac:dyDescent="0.25">
      <c r="A7" s="9" t="s">
        <v>94</v>
      </c>
      <c r="B7" s="10">
        <v>98453.889999999941</v>
      </c>
    </row>
    <row r="8" spans="1:2" x14ac:dyDescent="0.25">
      <c r="A8" s="9" t="s">
        <v>42</v>
      </c>
      <c r="B8" s="10">
        <v>226475.91999999995</v>
      </c>
    </row>
    <row r="9" spans="1:2" x14ac:dyDescent="0.25">
      <c r="A9" s="9" t="s">
        <v>31</v>
      </c>
      <c r="B9" s="10">
        <v>148093.37999999992</v>
      </c>
    </row>
    <row r="10" spans="1:2" x14ac:dyDescent="0.25">
      <c r="A10" s="9" t="s">
        <v>1358</v>
      </c>
      <c r="B10" s="10">
        <v>2398286.7399999993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4087-07E8-4526-A602-C7E218AD2D06}">
  <sheetPr codeName="Sheet4"/>
  <dimension ref="A3:B8"/>
  <sheetViews>
    <sheetView workbookViewId="0">
      <selection activeCell="B6" sqref="B6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8" t="s">
        <v>1357</v>
      </c>
      <c r="B3" t="s">
        <v>1371</v>
      </c>
    </row>
    <row r="4" spans="1:2" x14ac:dyDescent="0.25">
      <c r="A4" s="9" t="s">
        <v>32</v>
      </c>
      <c r="B4" s="10">
        <v>5124272.5</v>
      </c>
    </row>
    <row r="5" spans="1:2" x14ac:dyDescent="0.25">
      <c r="A5" s="9" t="s">
        <v>991</v>
      </c>
      <c r="B5" s="10">
        <v>3420</v>
      </c>
    </row>
    <row r="6" spans="1:2" x14ac:dyDescent="0.25">
      <c r="A6" s="9" t="s">
        <v>45</v>
      </c>
      <c r="B6" s="10">
        <v>5925760</v>
      </c>
    </row>
    <row r="7" spans="1:2" x14ac:dyDescent="0.25">
      <c r="A7" s="9" t="s">
        <v>24</v>
      </c>
      <c r="B7" s="10">
        <v>5073072.5</v>
      </c>
    </row>
    <row r="8" spans="1:2" x14ac:dyDescent="0.25">
      <c r="A8" s="9" t="s">
        <v>1358</v>
      </c>
      <c r="B8" s="10">
        <v>16126525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FCCCD-7E0A-4B60-B85B-1B03D880A05D}">
  <sheetPr codeName="Sheet5"/>
  <dimension ref="A3:B11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8" t="s">
        <v>1357</v>
      </c>
      <c r="B3" t="s">
        <v>1371</v>
      </c>
    </row>
    <row r="4" spans="1:2" x14ac:dyDescent="0.25">
      <c r="A4" s="9" t="s">
        <v>59</v>
      </c>
      <c r="B4" s="10">
        <v>2595410</v>
      </c>
    </row>
    <row r="5" spans="1:2" x14ac:dyDescent="0.25">
      <c r="A5" s="9" t="s">
        <v>71</v>
      </c>
      <c r="B5" s="10">
        <v>4100077.5</v>
      </c>
    </row>
    <row r="6" spans="1:2" x14ac:dyDescent="0.25">
      <c r="A6" s="9" t="s">
        <v>23</v>
      </c>
      <c r="B6" s="10">
        <v>3517172.5</v>
      </c>
    </row>
    <row r="7" spans="1:2" x14ac:dyDescent="0.25">
      <c r="A7" s="9" t="s">
        <v>44</v>
      </c>
      <c r="B7" s="10">
        <v>1558797.5</v>
      </c>
    </row>
    <row r="8" spans="1:2" x14ac:dyDescent="0.25">
      <c r="A8" s="9" t="s">
        <v>81</v>
      </c>
      <c r="B8" s="10">
        <v>2024767.5</v>
      </c>
    </row>
    <row r="9" spans="1:2" x14ac:dyDescent="0.25">
      <c r="A9" s="9" t="s">
        <v>1349</v>
      </c>
      <c r="B9" s="10">
        <v>30520</v>
      </c>
    </row>
    <row r="10" spans="1:2" x14ac:dyDescent="0.25">
      <c r="A10" s="9" t="s">
        <v>76</v>
      </c>
      <c r="B10" s="10">
        <v>2299780</v>
      </c>
    </row>
    <row r="11" spans="1:2" x14ac:dyDescent="0.25">
      <c r="A11" s="9" t="s">
        <v>1358</v>
      </c>
      <c r="B11" s="10">
        <v>16126525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8471-4C7A-4E79-8F32-6315C934CB61}">
  <sheetPr codeName="Sheet6"/>
  <dimension ref="A3:B10"/>
  <sheetViews>
    <sheetView tabSelected="1" workbookViewId="0">
      <selection activeCell="B6" sqref="B6"/>
    </sheetView>
  </sheetViews>
  <sheetFormatPr defaultRowHeight="15" x14ac:dyDescent="0.25"/>
  <cols>
    <col min="1" max="1" width="15.85546875" bestFit="1" customWidth="1"/>
    <col min="2" max="2" width="12.140625" bestFit="1" customWidth="1"/>
  </cols>
  <sheetData>
    <row r="3" spans="1:2" x14ac:dyDescent="0.25">
      <c r="A3" s="8" t="s">
        <v>1357</v>
      </c>
      <c r="B3" t="s">
        <v>1371</v>
      </c>
    </row>
    <row r="4" spans="1:2" x14ac:dyDescent="0.25">
      <c r="A4" s="9" t="s">
        <v>37</v>
      </c>
      <c r="B4" s="10">
        <v>2469307.5</v>
      </c>
    </row>
    <row r="5" spans="1:2" x14ac:dyDescent="0.25">
      <c r="A5" s="9" t="s">
        <v>95</v>
      </c>
      <c r="B5" s="10">
        <v>3241220</v>
      </c>
    </row>
    <row r="6" spans="1:2" x14ac:dyDescent="0.25">
      <c r="A6" s="9" t="s">
        <v>46</v>
      </c>
      <c r="B6" s="10">
        <v>5491077.5</v>
      </c>
    </row>
    <row r="7" spans="1:2" x14ac:dyDescent="0.25">
      <c r="A7" s="9" t="s">
        <v>25</v>
      </c>
      <c r="B7" s="10">
        <v>2548795</v>
      </c>
    </row>
    <row r="8" spans="1:2" x14ac:dyDescent="0.25">
      <c r="A8" s="9" t="s">
        <v>1349</v>
      </c>
      <c r="B8" s="10">
        <v>5760</v>
      </c>
    </row>
    <row r="9" spans="1:2" x14ac:dyDescent="0.25">
      <c r="A9" s="9" t="s">
        <v>55</v>
      </c>
      <c r="B9" s="10">
        <v>2370365</v>
      </c>
    </row>
    <row r="10" spans="1:2" x14ac:dyDescent="0.25">
      <c r="A10" s="9" t="s">
        <v>1358</v>
      </c>
      <c r="B10" s="10">
        <v>16126525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5BD4-3AA9-4DF8-97D1-1190DEB221FD}">
  <sheetPr codeName="Sheet7"/>
  <dimension ref="A3:B7"/>
  <sheetViews>
    <sheetView workbookViewId="0">
      <selection activeCell="N10" sqref="N10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2" x14ac:dyDescent="0.25">
      <c r="A3" s="8" t="s">
        <v>1357</v>
      </c>
      <c r="B3" t="s">
        <v>1373</v>
      </c>
    </row>
    <row r="4" spans="1:2" x14ac:dyDescent="0.25">
      <c r="A4" s="9" t="s">
        <v>47</v>
      </c>
      <c r="B4" s="10">
        <v>150</v>
      </c>
    </row>
    <row r="5" spans="1:2" x14ac:dyDescent="0.25">
      <c r="A5" s="9" t="s">
        <v>26</v>
      </c>
      <c r="B5" s="10">
        <v>523</v>
      </c>
    </row>
    <row r="6" spans="1:2" x14ac:dyDescent="0.25">
      <c r="A6" s="9" t="s">
        <v>60</v>
      </c>
      <c r="B6" s="10">
        <v>127</v>
      </c>
    </row>
    <row r="7" spans="1:2" x14ac:dyDescent="0.25">
      <c r="A7" s="9" t="s">
        <v>1358</v>
      </c>
      <c r="B7" s="10">
        <v>800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86A8F-1198-4FB9-A6A1-2D649C57A7AC}">
  <sheetPr codeName="Sheet8"/>
  <dimension ref="A3:B8"/>
  <sheetViews>
    <sheetView workbookViewId="0">
      <selection activeCell="B6" sqref="B6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8" t="s">
        <v>1357</v>
      </c>
      <c r="B3" t="s">
        <v>1372</v>
      </c>
    </row>
    <row r="4" spans="1:2" x14ac:dyDescent="0.25">
      <c r="A4" s="9" t="s">
        <v>32</v>
      </c>
      <c r="B4" s="10">
        <v>746443.09999999974</v>
      </c>
    </row>
    <row r="5" spans="1:2" x14ac:dyDescent="0.25">
      <c r="A5" s="9" t="s">
        <v>991</v>
      </c>
      <c r="B5" s="10">
        <v>647.34</v>
      </c>
    </row>
    <row r="6" spans="1:2" x14ac:dyDescent="0.25">
      <c r="A6" s="9" t="s">
        <v>45</v>
      </c>
      <c r="B6" s="10">
        <v>875977.82000000041</v>
      </c>
    </row>
    <row r="7" spans="1:2" x14ac:dyDescent="0.25">
      <c r="A7" s="9" t="s">
        <v>24</v>
      </c>
      <c r="B7" s="10">
        <v>775218.48000000045</v>
      </c>
    </row>
    <row r="8" spans="1:2" x14ac:dyDescent="0.25">
      <c r="A8" s="9" t="s">
        <v>1358</v>
      </c>
      <c r="B8" s="10">
        <v>2398286.7400000007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Q801"/>
  <sheetViews>
    <sheetView zoomScaleNormal="100" workbookViewId="0">
      <selection sqref="A1:Q801"/>
    </sheetView>
  </sheetViews>
  <sheetFormatPr defaultRowHeight="15" x14ac:dyDescent="0.25"/>
  <cols>
    <col min="1" max="1" width="13.5703125" bestFit="1" customWidth="1"/>
    <col min="2" max="2" width="15.85546875" style="4" bestFit="1" customWidth="1"/>
    <col min="3" max="3" width="17" bestFit="1" customWidth="1"/>
    <col min="4" max="4" width="20.5703125" bestFit="1" customWidth="1"/>
    <col min="5" max="5" width="16.5703125" bestFit="1" customWidth="1"/>
    <col min="6" max="6" width="8" customWidth="1"/>
    <col min="7" max="7" width="13.28515625" bestFit="1" customWidth="1"/>
    <col min="8" max="8" width="7.5703125" customWidth="1"/>
    <col min="9" max="9" width="10.85546875" style="6" customWidth="1"/>
    <col min="10" max="10" width="14.140625" customWidth="1"/>
    <col min="15" max="15" width="20.5703125" customWidth="1"/>
    <col min="16" max="16" width="19.140625" customWidth="1"/>
    <col min="17" max="17" width="14.7109375" customWidth="1"/>
  </cols>
  <sheetData>
    <row r="1" spans="1:17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1" t="s">
        <v>17</v>
      </c>
      <c r="B2" s="12">
        <v>45783</v>
      </c>
      <c r="C2" s="11" t="s">
        <v>18</v>
      </c>
      <c r="D2" s="11" t="s">
        <v>19</v>
      </c>
      <c r="E2" s="11" t="s">
        <v>20</v>
      </c>
      <c r="F2" s="11" t="s">
        <v>21</v>
      </c>
      <c r="G2" s="11">
        <v>1</v>
      </c>
      <c r="H2" s="11">
        <v>4500</v>
      </c>
      <c r="I2" s="11">
        <v>0.1</v>
      </c>
      <c r="J2" s="11">
        <v>4050</v>
      </c>
      <c r="K2" s="11">
        <v>3687.25</v>
      </c>
      <c r="L2" s="11">
        <v>362.75</v>
      </c>
      <c r="M2" s="11" t="s">
        <v>22</v>
      </c>
      <c r="N2" s="11" t="s">
        <v>23</v>
      </c>
      <c r="O2" s="11" t="s">
        <v>24</v>
      </c>
      <c r="P2" s="11" t="s">
        <v>25</v>
      </c>
      <c r="Q2" s="11" t="s">
        <v>26</v>
      </c>
    </row>
    <row r="3" spans="1:17" x14ac:dyDescent="0.25">
      <c r="A3" s="11" t="s">
        <v>27</v>
      </c>
      <c r="B3" s="12">
        <v>45705</v>
      </c>
      <c r="C3" s="11" t="s">
        <v>28</v>
      </c>
      <c r="D3" s="11" t="s">
        <v>29</v>
      </c>
      <c r="E3" s="11" t="s">
        <v>30</v>
      </c>
      <c r="F3" s="11" t="s">
        <v>31</v>
      </c>
      <c r="G3" s="11">
        <v>1</v>
      </c>
      <c r="H3" s="11">
        <v>1200</v>
      </c>
      <c r="I3" s="13">
        <v>0</v>
      </c>
      <c r="J3" s="11">
        <v>1200</v>
      </c>
      <c r="K3" s="11">
        <v>919.48</v>
      </c>
      <c r="L3" s="11">
        <v>280.52</v>
      </c>
      <c r="M3" s="11" t="s">
        <v>22</v>
      </c>
      <c r="N3" s="11" t="s">
        <v>23</v>
      </c>
      <c r="O3" s="11" t="s">
        <v>32</v>
      </c>
      <c r="P3" s="11" t="s">
        <v>25</v>
      </c>
      <c r="Q3" s="11" t="s">
        <v>26</v>
      </c>
    </row>
    <row r="4" spans="1:17" x14ac:dyDescent="0.25">
      <c r="A4" s="11" t="s">
        <v>38</v>
      </c>
      <c r="B4" s="12">
        <v>45830</v>
      </c>
      <c r="C4" s="11" t="s">
        <v>39</v>
      </c>
      <c r="D4" s="11" t="s">
        <v>40</v>
      </c>
      <c r="E4" s="11" t="s">
        <v>41</v>
      </c>
      <c r="F4" s="11" t="s">
        <v>42</v>
      </c>
      <c r="G4" s="11">
        <v>2</v>
      </c>
      <c r="H4" s="11">
        <v>7500</v>
      </c>
      <c r="I4" s="11">
        <v>0.05</v>
      </c>
      <c r="J4" s="11">
        <v>14250</v>
      </c>
      <c r="K4" s="11">
        <v>11060.75</v>
      </c>
      <c r="L4" s="11">
        <v>3189.25</v>
      </c>
      <c r="M4" s="11" t="s">
        <v>43</v>
      </c>
      <c r="N4" s="11" t="s">
        <v>44</v>
      </c>
      <c r="O4" s="11" t="s">
        <v>32</v>
      </c>
      <c r="P4" s="11" t="s">
        <v>46</v>
      </c>
      <c r="Q4" s="11" t="s">
        <v>47</v>
      </c>
    </row>
    <row r="5" spans="1:17" x14ac:dyDescent="0.25">
      <c r="A5" s="11" t="s">
        <v>77</v>
      </c>
      <c r="B5" s="12">
        <v>45736</v>
      </c>
      <c r="C5" s="11" t="s">
        <v>78</v>
      </c>
      <c r="D5" s="11" t="s">
        <v>79</v>
      </c>
      <c r="E5" s="11" t="s">
        <v>62</v>
      </c>
      <c r="F5" s="11" t="s">
        <v>21</v>
      </c>
      <c r="G5" s="11">
        <v>1</v>
      </c>
      <c r="H5" s="11">
        <v>1800</v>
      </c>
      <c r="I5" s="11">
        <v>0</v>
      </c>
      <c r="J5" s="11">
        <v>1800</v>
      </c>
      <c r="K5" s="11">
        <v>1451.72</v>
      </c>
      <c r="L5" s="11">
        <v>348.28</v>
      </c>
      <c r="M5" s="11" t="s">
        <v>80</v>
      </c>
      <c r="N5" s="11" t="s">
        <v>81</v>
      </c>
      <c r="O5" s="11" t="s">
        <v>45</v>
      </c>
      <c r="P5" s="11" t="s">
        <v>55</v>
      </c>
      <c r="Q5" s="11" t="s">
        <v>26</v>
      </c>
    </row>
    <row r="6" spans="1:17" x14ac:dyDescent="0.25">
      <c r="A6" s="11" t="s">
        <v>990</v>
      </c>
      <c r="B6" s="12">
        <v>45843</v>
      </c>
      <c r="C6" s="11" t="s">
        <v>136</v>
      </c>
      <c r="D6" s="11" t="s">
        <v>137</v>
      </c>
      <c r="E6" s="11" t="s">
        <v>112</v>
      </c>
      <c r="F6" s="11" t="s">
        <v>94</v>
      </c>
      <c r="G6" s="11">
        <v>3</v>
      </c>
      <c r="H6" s="11">
        <v>800</v>
      </c>
      <c r="I6" s="13">
        <v>0.15</v>
      </c>
      <c r="J6" s="11">
        <v>2040</v>
      </c>
      <c r="K6" s="11">
        <v>1795.19</v>
      </c>
      <c r="L6" s="11">
        <v>244.81</v>
      </c>
      <c r="M6" s="11" t="s">
        <v>43</v>
      </c>
      <c r="N6" s="11" t="s">
        <v>44</v>
      </c>
      <c r="O6" s="11" t="s">
        <v>32</v>
      </c>
      <c r="P6" s="11" t="s">
        <v>46</v>
      </c>
      <c r="Q6" s="11" t="s">
        <v>26</v>
      </c>
    </row>
    <row r="7" spans="1:17" x14ac:dyDescent="0.25">
      <c r="A7" s="11" t="s">
        <v>33</v>
      </c>
      <c r="B7" s="12">
        <v>45959</v>
      </c>
      <c r="C7" s="11" t="s">
        <v>34</v>
      </c>
      <c r="D7" s="11" t="s">
        <v>35</v>
      </c>
      <c r="E7" s="11" t="s">
        <v>30</v>
      </c>
      <c r="F7" s="11" t="s">
        <v>31</v>
      </c>
      <c r="G7" s="11">
        <v>2</v>
      </c>
      <c r="H7" s="11">
        <v>1200</v>
      </c>
      <c r="I7" s="13">
        <v>0.15</v>
      </c>
      <c r="J7" s="11">
        <v>2040</v>
      </c>
      <c r="K7" s="11">
        <v>2039.85</v>
      </c>
      <c r="L7" s="11">
        <v>0.15</v>
      </c>
      <c r="M7" s="11" t="s">
        <v>36</v>
      </c>
      <c r="N7" s="11" t="s">
        <v>23</v>
      </c>
      <c r="O7" s="11" t="s">
        <v>45</v>
      </c>
      <c r="P7" s="11" t="s">
        <v>37</v>
      </c>
      <c r="Q7" s="11" t="s">
        <v>26</v>
      </c>
    </row>
    <row r="8" spans="1:17" x14ac:dyDescent="0.25">
      <c r="A8" s="11" t="s">
        <v>48</v>
      </c>
      <c r="B8" s="12">
        <v>45932</v>
      </c>
      <c r="C8" s="11" t="s">
        <v>49</v>
      </c>
      <c r="D8" s="11" t="s">
        <v>50</v>
      </c>
      <c r="E8" s="11" t="s">
        <v>41</v>
      </c>
      <c r="F8" s="11" t="s">
        <v>42</v>
      </c>
      <c r="G8" s="11">
        <v>1</v>
      </c>
      <c r="H8" s="11">
        <v>7500</v>
      </c>
      <c r="I8" s="13">
        <v>0.15</v>
      </c>
      <c r="J8" s="11">
        <v>6375</v>
      </c>
      <c r="K8" s="11">
        <v>6465.96</v>
      </c>
      <c r="L8" s="11">
        <v>-90.96</v>
      </c>
      <c r="M8" s="11" t="s">
        <v>43</v>
      </c>
      <c r="N8" s="11" t="s">
        <v>44</v>
      </c>
      <c r="O8" s="11" t="s">
        <v>32</v>
      </c>
      <c r="P8" s="11" t="s">
        <v>25</v>
      </c>
      <c r="Q8" s="11" t="s">
        <v>26</v>
      </c>
    </row>
    <row r="9" spans="1:17" x14ac:dyDescent="0.25">
      <c r="A9" s="11" t="s">
        <v>51</v>
      </c>
      <c r="B9" s="12">
        <v>46018</v>
      </c>
      <c r="C9" s="11" t="s">
        <v>52</v>
      </c>
      <c r="D9" s="11" t="s">
        <v>53</v>
      </c>
      <c r="E9" s="11" t="s">
        <v>54</v>
      </c>
      <c r="F9" s="11" t="s">
        <v>31</v>
      </c>
      <c r="G9" s="11">
        <v>5</v>
      </c>
      <c r="H9" s="11">
        <v>2800</v>
      </c>
      <c r="I9" s="11">
        <v>0.05</v>
      </c>
      <c r="J9" s="11">
        <v>13300</v>
      </c>
      <c r="K9" s="11">
        <v>11229.27</v>
      </c>
      <c r="L9" s="11">
        <v>2070.73</v>
      </c>
      <c r="M9" s="11" t="s">
        <v>43</v>
      </c>
      <c r="N9" s="11" t="s">
        <v>44</v>
      </c>
      <c r="O9" s="11" t="s">
        <v>45</v>
      </c>
      <c r="P9" s="11" t="s">
        <v>55</v>
      </c>
      <c r="Q9" s="11" t="s">
        <v>26</v>
      </c>
    </row>
    <row r="10" spans="1:17" x14ac:dyDescent="0.25">
      <c r="A10" s="11" t="s">
        <v>56</v>
      </c>
      <c r="B10" s="12">
        <v>45890</v>
      </c>
      <c r="C10" s="11" t="s">
        <v>57</v>
      </c>
      <c r="D10" s="11" t="s">
        <v>58</v>
      </c>
      <c r="E10" s="11" t="s">
        <v>20</v>
      </c>
      <c r="F10" s="11" t="s">
        <v>21</v>
      </c>
      <c r="G10" s="11">
        <v>4</v>
      </c>
      <c r="H10" s="11">
        <v>4500</v>
      </c>
      <c r="I10" s="13">
        <v>0.1</v>
      </c>
      <c r="J10" s="11">
        <v>16200</v>
      </c>
      <c r="K10" s="11">
        <v>13232.55</v>
      </c>
      <c r="L10" s="11">
        <v>2967.45</v>
      </c>
      <c r="M10" s="11" t="s">
        <v>59</v>
      </c>
      <c r="N10" s="11" t="s">
        <v>59</v>
      </c>
      <c r="O10" s="11" t="s">
        <v>32</v>
      </c>
      <c r="P10" s="11" t="s">
        <v>46</v>
      </c>
      <c r="Q10" s="11" t="s">
        <v>60</v>
      </c>
    </row>
    <row r="11" spans="1:17" x14ac:dyDescent="0.25">
      <c r="A11" s="11" t="s">
        <v>61</v>
      </c>
      <c r="B11" s="12">
        <v>45931</v>
      </c>
      <c r="C11" s="11" t="s">
        <v>57</v>
      </c>
      <c r="D11" s="11" t="s">
        <v>58</v>
      </c>
      <c r="E11" s="11" t="s">
        <v>62</v>
      </c>
      <c r="F11" s="11" t="s">
        <v>21</v>
      </c>
      <c r="G11" s="11">
        <v>5</v>
      </c>
      <c r="H11" s="11">
        <v>1800</v>
      </c>
      <c r="I11" s="11">
        <v>0.05</v>
      </c>
      <c r="J11" s="11">
        <v>8550</v>
      </c>
      <c r="K11" s="11">
        <v>6806.88</v>
      </c>
      <c r="L11" s="11">
        <v>1743.12</v>
      </c>
      <c r="M11" s="11" t="s">
        <v>22</v>
      </c>
      <c r="N11" s="11" t="s">
        <v>23</v>
      </c>
      <c r="O11" s="11" t="s">
        <v>32</v>
      </c>
      <c r="P11" s="11" t="s">
        <v>25</v>
      </c>
      <c r="Q11" s="11" t="s">
        <v>26</v>
      </c>
    </row>
    <row r="12" spans="1:17" x14ac:dyDescent="0.25">
      <c r="A12" s="11" t="s">
        <v>63</v>
      </c>
      <c r="B12" s="12">
        <v>45674</v>
      </c>
      <c r="C12" s="11" t="s">
        <v>64</v>
      </c>
      <c r="D12" s="11" t="s">
        <v>65</v>
      </c>
      <c r="E12" s="11" t="s">
        <v>66</v>
      </c>
      <c r="F12" s="11" t="s">
        <v>31</v>
      </c>
      <c r="G12" s="11">
        <v>1</v>
      </c>
      <c r="H12" s="11">
        <v>3500</v>
      </c>
      <c r="I12" s="13">
        <v>0.05</v>
      </c>
      <c r="J12" s="11">
        <v>3325</v>
      </c>
      <c r="K12" s="11">
        <v>2490.5300000000002</v>
      </c>
      <c r="L12" s="11">
        <v>834.47</v>
      </c>
      <c r="M12" s="11" t="s">
        <v>59</v>
      </c>
      <c r="N12" s="11" t="s">
        <v>59</v>
      </c>
      <c r="O12" s="11" t="s">
        <v>32</v>
      </c>
      <c r="P12" s="11" t="s">
        <v>25</v>
      </c>
      <c r="Q12" s="11" t="s">
        <v>60</v>
      </c>
    </row>
    <row r="13" spans="1:17" x14ac:dyDescent="0.25">
      <c r="A13" s="11" t="s">
        <v>67</v>
      </c>
      <c r="B13" s="12">
        <v>45860</v>
      </c>
      <c r="C13" s="11" t="s">
        <v>68</v>
      </c>
      <c r="D13" s="11" t="s">
        <v>69</v>
      </c>
      <c r="E13" s="11" t="s">
        <v>66</v>
      </c>
      <c r="F13" s="11" t="s">
        <v>31</v>
      </c>
      <c r="G13" s="11">
        <v>2</v>
      </c>
      <c r="H13" s="11">
        <v>3500</v>
      </c>
      <c r="I13" s="13">
        <v>0.15</v>
      </c>
      <c r="J13" s="11">
        <v>5950</v>
      </c>
      <c r="K13" s="11">
        <v>4976.46</v>
      </c>
      <c r="L13" s="11">
        <v>973.54</v>
      </c>
      <c r="M13" s="11" t="s">
        <v>70</v>
      </c>
      <c r="N13" s="11" t="s">
        <v>71</v>
      </c>
      <c r="O13" s="11" t="s">
        <v>24</v>
      </c>
      <c r="P13" s="11" t="s">
        <v>25</v>
      </c>
      <c r="Q13" s="11" t="s">
        <v>47</v>
      </c>
    </row>
    <row r="14" spans="1:17" x14ac:dyDescent="0.25">
      <c r="A14" s="11" t="s">
        <v>72</v>
      </c>
      <c r="B14" s="12">
        <v>45956</v>
      </c>
      <c r="C14" s="11" t="s">
        <v>73</v>
      </c>
      <c r="D14" s="11" t="s">
        <v>74</v>
      </c>
      <c r="E14" s="11" t="s">
        <v>41</v>
      </c>
      <c r="F14" s="11" t="s">
        <v>42</v>
      </c>
      <c r="G14" s="11">
        <v>5</v>
      </c>
      <c r="H14" s="11">
        <v>7500</v>
      </c>
      <c r="I14" s="13">
        <v>0.15</v>
      </c>
      <c r="J14" s="11">
        <v>31875</v>
      </c>
      <c r="K14" s="11">
        <v>26266.639999999999</v>
      </c>
      <c r="L14" s="11">
        <v>5608.36</v>
      </c>
      <c r="M14" s="11" t="s">
        <v>75</v>
      </c>
      <c r="N14" s="11" t="s">
        <v>76</v>
      </c>
      <c r="O14" s="11" t="s">
        <v>32</v>
      </c>
      <c r="P14" s="11" t="s">
        <v>25</v>
      </c>
      <c r="Q14" s="11" t="s">
        <v>26</v>
      </c>
    </row>
    <row r="15" spans="1:17" x14ac:dyDescent="0.25">
      <c r="A15" s="11" t="s">
        <v>82</v>
      </c>
      <c r="B15" s="12">
        <v>45928</v>
      </c>
      <c r="C15" s="11" t="s">
        <v>83</v>
      </c>
      <c r="D15" s="11" t="s">
        <v>84</v>
      </c>
      <c r="E15" s="11" t="s">
        <v>85</v>
      </c>
      <c r="F15" s="11" t="s">
        <v>86</v>
      </c>
      <c r="G15" s="11">
        <v>5</v>
      </c>
      <c r="H15" s="11">
        <v>450</v>
      </c>
      <c r="I15" s="13">
        <v>0.15</v>
      </c>
      <c r="J15" s="11">
        <v>1912.5</v>
      </c>
      <c r="K15" s="11">
        <v>1748.79</v>
      </c>
      <c r="L15" s="11">
        <v>163.71</v>
      </c>
      <c r="M15" s="11" t="s">
        <v>36</v>
      </c>
      <c r="N15" s="11" t="s">
        <v>23</v>
      </c>
      <c r="O15" s="11" t="s">
        <v>24</v>
      </c>
      <c r="P15" s="11" t="s">
        <v>55</v>
      </c>
      <c r="Q15" s="11" t="s">
        <v>60</v>
      </c>
    </row>
    <row r="16" spans="1:17" x14ac:dyDescent="0.25">
      <c r="A16" s="11" t="s">
        <v>87</v>
      </c>
      <c r="B16" s="12">
        <v>45808</v>
      </c>
      <c r="C16" s="11" t="s">
        <v>88</v>
      </c>
      <c r="D16" s="11" t="s">
        <v>89</v>
      </c>
      <c r="E16" s="11" t="s">
        <v>41</v>
      </c>
      <c r="F16" s="11" t="s">
        <v>42</v>
      </c>
      <c r="G16" s="11">
        <v>3</v>
      </c>
      <c r="H16" s="11">
        <v>7500</v>
      </c>
      <c r="I16" s="11">
        <v>0</v>
      </c>
      <c r="J16" s="11">
        <v>22500</v>
      </c>
      <c r="K16" s="11">
        <v>16973.02</v>
      </c>
      <c r="L16" s="11">
        <v>5526.98</v>
      </c>
      <c r="M16" s="11" t="s">
        <v>75</v>
      </c>
      <c r="N16" s="11" t="s">
        <v>76</v>
      </c>
      <c r="O16" s="11" t="s">
        <v>24</v>
      </c>
      <c r="P16" s="11" t="s">
        <v>46</v>
      </c>
      <c r="Q16" s="11" t="s">
        <v>47</v>
      </c>
    </row>
    <row r="17" spans="1:17" x14ac:dyDescent="0.25">
      <c r="A17" s="11" t="s">
        <v>90</v>
      </c>
      <c r="B17" s="12">
        <v>45978</v>
      </c>
      <c r="C17" s="11" t="s">
        <v>91</v>
      </c>
      <c r="D17" s="11" t="s">
        <v>92</v>
      </c>
      <c r="E17" s="11" t="s">
        <v>93</v>
      </c>
      <c r="F17" s="11" t="s">
        <v>94</v>
      </c>
      <c r="G17" s="11">
        <v>5</v>
      </c>
      <c r="H17" s="11">
        <v>2800</v>
      </c>
      <c r="I17" s="11">
        <v>0</v>
      </c>
      <c r="J17" s="11">
        <v>14000</v>
      </c>
      <c r="K17" s="11">
        <v>11157.42</v>
      </c>
      <c r="L17" s="11">
        <v>2842.58</v>
      </c>
      <c r="M17" s="11" t="s">
        <v>36</v>
      </c>
      <c r="N17" s="11" t="s">
        <v>23</v>
      </c>
      <c r="O17" s="11" t="s">
        <v>32</v>
      </c>
      <c r="P17" s="11" t="s">
        <v>95</v>
      </c>
      <c r="Q17" s="11" t="s">
        <v>26</v>
      </c>
    </row>
    <row r="18" spans="1:17" x14ac:dyDescent="0.25">
      <c r="A18" s="11" t="s">
        <v>96</v>
      </c>
      <c r="B18" s="12">
        <v>45929</v>
      </c>
      <c r="C18" s="11" t="s">
        <v>97</v>
      </c>
      <c r="D18" s="11" t="s">
        <v>98</v>
      </c>
      <c r="E18" s="11" t="s">
        <v>54</v>
      </c>
      <c r="F18" s="11" t="s">
        <v>31</v>
      </c>
      <c r="G18" s="11">
        <v>2</v>
      </c>
      <c r="H18" s="11">
        <v>2800</v>
      </c>
      <c r="I18" s="13">
        <v>0.2</v>
      </c>
      <c r="J18" s="11">
        <v>4480</v>
      </c>
      <c r="K18" s="11">
        <v>4057.51</v>
      </c>
      <c r="L18" s="11">
        <v>422.49</v>
      </c>
      <c r="M18" s="11" t="s">
        <v>99</v>
      </c>
      <c r="N18" s="11" t="s">
        <v>71</v>
      </c>
      <c r="O18" s="11" t="s">
        <v>32</v>
      </c>
      <c r="P18" s="11" t="s">
        <v>55</v>
      </c>
      <c r="Q18" s="11" t="s">
        <v>26</v>
      </c>
    </row>
    <row r="19" spans="1:17" x14ac:dyDescent="0.25">
      <c r="A19" s="11" t="s">
        <v>100</v>
      </c>
      <c r="B19" s="12">
        <v>45781</v>
      </c>
      <c r="C19" s="11" t="s">
        <v>101</v>
      </c>
      <c r="D19" s="11" t="s">
        <v>102</v>
      </c>
      <c r="E19" s="11" t="s">
        <v>103</v>
      </c>
      <c r="F19" s="11" t="s">
        <v>42</v>
      </c>
      <c r="G19" s="11">
        <v>2</v>
      </c>
      <c r="H19" s="11">
        <v>6000</v>
      </c>
      <c r="I19" s="13">
        <v>0</v>
      </c>
      <c r="J19" s="11">
        <v>12000</v>
      </c>
      <c r="K19" s="11">
        <v>9820.06</v>
      </c>
      <c r="L19" s="11">
        <v>2179.94</v>
      </c>
      <c r="M19" s="11" t="s">
        <v>43</v>
      </c>
      <c r="N19" s="11" t="s">
        <v>44</v>
      </c>
      <c r="O19" s="11" t="s">
        <v>45</v>
      </c>
      <c r="P19" s="11" t="s">
        <v>25</v>
      </c>
      <c r="Q19" s="11" t="s">
        <v>26</v>
      </c>
    </row>
    <row r="20" spans="1:17" x14ac:dyDescent="0.25">
      <c r="A20" s="11" t="s">
        <v>104</v>
      </c>
      <c r="B20" s="12">
        <v>45742</v>
      </c>
      <c r="C20" s="11" t="s">
        <v>105</v>
      </c>
      <c r="D20" s="11" t="s">
        <v>106</v>
      </c>
      <c r="E20" s="11" t="s">
        <v>107</v>
      </c>
      <c r="F20" s="11" t="s">
        <v>108</v>
      </c>
      <c r="G20" s="11">
        <v>4</v>
      </c>
      <c r="H20" s="11">
        <v>1400</v>
      </c>
      <c r="I20" s="11">
        <v>0.2</v>
      </c>
      <c r="J20" s="11">
        <v>4480</v>
      </c>
      <c r="K20" s="11">
        <v>4763.6899999999996</v>
      </c>
      <c r="L20" s="11">
        <v>-283.69</v>
      </c>
      <c r="M20" s="11" t="s">
        <v>36</v>
      </c>
      <c r="N20" s="11" t="s">
        <v>23</v>
      </c>
      <c r="O20" s="11" t="s">
        <v>45</v>
      </c>
      <c r="P20" s="11" t="s">
        <v>95</v>
      </c>
      <c r="Q20" s="11" t="s">
        <v>47</v>
      </c>
    </row>
    <row r="21" spans="1:17" x14ac:dyDescent="0.25">
      <c r="A21" s="11" t="s">
        <v>109</v>
      </c>
      <c r="B21" s="12">
        <v>46001</v>
      </c>
      <c r="C21" s="11" t="s">
        <v>110</v>
      </c>
      <c r="D21" s="11" t="s">
        <v>111</v>
      </c>
      <c r="E21" s="11" t="s">
        <v>112</v>
      </c>
      <c r="F21" s="11" t="s">
        <v>94</v>
      </c>
      <c r="G21" s="11">
        <v>3</v>
      </c>
      <c r="H21" s="11">
        <v>800</v>
      </c>
      <c r="I21" s="11">
        <v>0.15</v>
      </c>
      <c r="J21" s="11">
        <v>2040</v>
      </c>
      <c r="K21" s="11">
        <v>2056.59</v>
      </c>
      <c r="L21" s="11">
        <v>-16.59</v>
      </c>
      <c r="M21" s="11" t="s">
        <v>59</v>
      </c>
      <c r="N21" s="11" t="s">
        <v>59</v>
      </c>
      <c r="O21" s="11" t="s">
        <v>32</v>
      </c>
      <c r="P21" s="11" t="s">
        <v>55</v>
      </c>
      <c r="Q21" s="11" t="s">
        <v>26</v>
      </c>
    </row>
    <row r="22" spans="1:17" x14ac:dyDescent="0.25">
      <c r="A22" s="11" t="s">
        <v>113</v>
      </c>
      <c r="B22" s="12">
        <v>45668</v>
      </c>
      <c r="C22" s="11" t="s">
        <v>114</v>
      </c>
      <c r="D22" s="11" t="s">
        <v>115</v>
      </c>
      <c r="E22" s="11" t="s">
        <v>116</v>
      </c>
      <c r="F22" s="11" t="s">
        <v>94</v>
      </c>
      <c r="G22" s="11">
        <v>1</v>
      </c>
      <c r="H22" s="11">
        <v>1800</v>
      </c>
      <c r="I22" s="13">
        <v>0.1</v>
      </c>
      <c r="J22" s="11">
        <v>1620</v>
      </c>
      <c r="K22" s="11">
        <v>1261.17</v>
      </c>
      <c r="L22" s="11">
        <v>358.83</v>
      </c>
      <c r="M22" s="11" t="s">
        <v>22</v>
      </c>
      <c r="N22" s="11" t="s">
        <v>23</v>
      </c>
      <c r="O22" s="11" t="s">
        <v>32</v>
      </c>
      <c r="P22" s="11" t="s">
        <v>55</v>
      </c>
      <c r="Q22" s="11" t="s">
        <v>26</v>
      </c>
    </row>
    <row r="23" spans="1:17" x14ac:dyDescent="0.25">
      <c r="A23" s="11" t="s">
        <v>117</v>
      </c>
      <c r="B23" s="12">
        <v>45694</v>
      </c>
      <c r="C23" s="11" t="s">
        <v>118</v>
      </c>
      <c r="D23" s="11" t="s">
        <v>119</v>
      </c>
      <c r="E23" s="11" t="s">
        <v>62</v>
      </c>
      <c r="F23" s="11" t="s">
        <v>21</v>
      </c>
      <c r="G23" s="11">
        <v>1</v>
      </c>
      <c r="H23" s="11">
        <v>1800</v>
      </c>
      <c r="I23" s="13">
        <v>0.1</v>
      </c>
      <c r="J23" s="11">
        <v>1620</v>
      </c>
      <c r="K23" s="11">
        <v>1446.96</v>
      </c>
      <c r="L23" s="11">
        <v>173.04</v>
      </c>
      <c r="M23" s="11" t="s">
        <v>22</v>
      </c>
      <c r="N23" s="11" t="s">
        <v>23</v>
      </c>
      <c r="O23" s="11" t="s">
        <v>45</v>
      </c>
      <c r="P23" s="11" t="s">
        <v>25</v>
      </c>
      <c r="Q23" s="11" t="s">
        <v>26</v>
      </c>
    </row>
    <row r="24" spans="1:17" x14ac:dyDescent="0.25">
      <c r="A24" s="11" t="s">
        <v>120</v>
      </c>
      <c r="B24" s="12">
        <v>45866</v>
      </c>
      <c r="C24" s="11" t="s">
        <v>121</v>
      </c>
      <c r="D24" s="11" t="s">
        <v>122</v>
      </c>
      <c r="E24" s="11" t="s">
        <v>123</v>
      </c>
      <c r="F24" s="11" t="s">
        <v>21</v>
      </c>
      <c r="G24" s="11">
        <v>2</v>
      </c>
      <c r="H24" s="11">
        <v>2200</v>
      </c>
      <c r="I24" s="11">
        <v>0.15</v>
      </c>
      <c r="J24" s="11">
        <v>3740</v>
      </c>
      <c r="K24" s="11">
        <v>2958.09</v>
      </c>
      <c r="L24" s="11">
        <v>781.91</v>
      </c>
      <c r="M24" s="11" t="s">
        <v>22</v>
      </c>
      <c r="N24" s="11" t="s">
        <v>23</v>
      </c>
      <c r="O24" s="11" t="s">
        <v>45</v>
      </c>
      <c r="P24" s="11" t="s">
        <v>46</v>
      </c>
      <c r="Q24" s="11" t="s">
        <v>26</v>
      </c>
    </row>
    <row r="25" spans="1:17" x14ac:dyDescent="0.25">
      <c r="A25" s="11" t="s">
        <v>124</v>
      </c>
      <c r="B25" s="12">
        <v>46002</v>
      </c>
      <c r="C25" s="11" t="s">
        <v>125</v>
      </c>
      <c r="D25" s="11" t="s">
        <v>126</v>
      </c>
      <c r="E25" s="11" t="s">
        <v>30</v>
      </c>
      <c r="F25" s="11" t="s">
        <v>31</v>
      </c>
      <c r="G25" s="11">
        <v>4</v>
      </c>
      <c r="H25" s="11">
        <v>1200</v>
      </c>
      <c r="I25" s="11">
        <v>0</v>
      </c>
      <c r="J25" s="11">
        <v>4800</v>
      </c>
      <c r="K25" s="11">
        <v>3564.49</v>
      </c>
      <c r="L25" s="11">
        <v>1235.51</v>
      </c>
      <c r="M25" s="11" t="s">
        <v>43</v>
      </c>
      <c r="N25" s="11" t="s">
        <v>44</v>
      </c>
      <c r="O25" s="11" t="s">
        <v>45</v>
      </c>
      <c r="P25" s="11" t="s">
        <v>55</v>
      </c>
      <c r="Q25" s="11" t="s">
        <v>26</v>
      </c>
    </row>
    <row r="26" spans="1:17" x14ac:dyDescent="0.25">
      <c r="A26" s="11" t="s">
        <v>127</v>
      </c>
      <c r="B26" s="12">
        <v>45887</v>
      </c>
      <c r="C26" s="11" t="s">
        <v>128</v>
      </c>
      <c r="D26" s="11" t="s">
        <v>129</v>
      </c>
      <c r="E26" s="11" t="s">
        <v>112</v>
      </c>
      <c r="F26" s="11" t="s">
        <v>94</v>
      </c>
      <c r="G26" s="11">
        <v>2</v>
      </c>
      <c r="H26" s="11">
        <v>800</v>
      </c>
      <c r="I26" s="11">
        <v>0.2</v>
      </c>
      <c r="J26" s="11">
        <v>1280</v>
      </c>
      <c r="K26" s="11">
        <v>1107.52</v>
      </c>
      <c r="L26" s="11">
        <v>172.48</v>
      </c>
      <c r="M26" s="11" t="s">
        <v>80</v>
      </c>
      <c r="N26" s="11" t="s">
        <v>81</v>
      </c>
      <c r="O26" s="11" t="s">
        <v>32</v>
      </c>
      <c r="P26" s="11" t="s">
        <v>95</v>
      </c>
      <c r="Q26" s="11" t="s">
        <v>26</v>
      </c>
    </row>
    <row r="27" spans="1:17" x14ac:dyDescent="0.25">
      <c r="A27" s="11" t="s">
        <v>130</v>
      </c>
      <c r="B27" s="12">
        <v>45683</v>
      </c>
      <c r="C27" s="11" t="s">
        <v>83</v>
      </c>
      <c r="D27" s="11" t="s">
        <v>84</v>
      </c>
      <c r="E27" s="11" t="s">
        <v>131</v>
      </c>
      <c r="F27" s="11" t="s">
        <v>21</v>
      </c>
      <c r="G27" s="11">
        <v>5</v>
      </c>
      <c r="H27" s="11">
        <v>1600</v>
      </c>
      <c r="I27" s="13">
        <v>0</v>
      </c>
      <c r="J27" s="11">
        <v>8000</v>
      </c>
      <c r="K27" s="11">
        <v>5371.6</v>
      </c>
      <c r="L27" s="11">
        <v>2628.4</v>
      </c>
      <c r="M27" s="11" t="s">
        <v>99</v>
      </c>
      <c r="N27" s="11" t="s">
        <v>71</v>
      </c>
      <c r="O27" s="11" t="s">
        <v>45</v>
      </c>
      <c r="P27" s="11" t="s">
        <v>95</v>
      </c>
      <c r="Q27" s="11" t="s">
        <v>26</v>
      </c>
    </row>
    <row r="28" spans="1:17" x14ac:dyDescent="0.25">
      <c r="A28" s="11" t="s">
        <v>132</v>
      </c>
      <c r="B28" s="12">
        <v>45863</v>
      </c>
      <c r="C28" s="11" t="s">
        <v>133</v>
      </c>
      <c r="D28" s="11" t="s">
        <v>134</v>
      </c>
      <c r="E28" s="11" t="s">
        <v>123</v>
      </c>
      <c r="F28" s="11" t="s">
        <v>21</v>
      </c>
      <c r="G28" s="11">
        <v>4</v>
      </c>
      <c r="H28" s="11">
        <v>2200</v>
      </c>
      <c r="I28" s="11">
        <v>0.05</v>
      </c>
      <c r="J28" s="11">
        <v>8360</v>
      </c>
      <c r="K28" s="11">
        <v>6487.04</v>
      </c>
      <c r="L28" s="11">
        <v>1872.96</v>
      </c>
      <c r="M28" s="11" t="s">
        <v>99</v>
      </c>
      <c r="N28" s="11" t="s">
        <v>71</v>
      </c>
      <c r="O28" s="11" t="s">
        <v>32</v>
      </c>
      <c r="P28" s="11" t="s">
        <v>46</v>
      </c>
      <c r="Q28" s="11" t="s">
        <v>26</v>
      </c>
    </row>
    <row r="29" spans="1:17" x14ac:dyDescent="0.25">
      <c r="A29" s="11" t="s">
        <v>135</v>
      </c>
      <c r="B29" s="12">
        <v>45996</v>
      </c>
      <c r="C29" s="11" t="s">
        <v>136</v>
      </c>
      <c r="D29" s="11" t="s">
        <v>137</v>
      </c>
      <c r="E29" s="11" t="s">
        <v>103</v>
      </c>
      <c r="F29" s="11" t="s">
        <v>42</v>
      </c>
      <c r="G29" s="11">
        <v>4</v>
      </c>
      <c r="H29" s="11">
        <v>6000</v>
      </c>
      <c r="I29" s="13">
        <v>0.2</v>
      </c>
      <c r="J29" s="11">
        <v>19200</v>
      </c>
      <c r="K29" s="11">
        <v>16648.240000000002</v>
      </c>
      <c r="L29" s="11">
        <v>2551.7600000000002</v>
      </c>
      <c r="M29" s="11" t="s">
        <v>70</v>
      </c>
      <c r="N29" s="11" t="s">
        <v>71</v>
      </c>
      <c r="O29" s="11" t="s">
        <v>24</v>
      </c>
      <c r="P29" s="11" t="s">
        <v>55</v>
      </c>
      <c r="Q29" s="11" t="s">
        <v>47</v>
      </c>
    </row>
    <row r="30" spans="1:17" x14ac:dyDescent="0.25">
      <c r="A30" s="11" t="s">
        <v>138</v>
      </c>
      <c r="B30" s="12">
        <v>45683</v>
      </c>
      <c r="C30" s="11" t="s">
        <v>139</v>
      </c>
      <c r="D30" s="11" t="s">
        <v>140</v>
      </c>
      <c r="E30" s="11" t="s">
        <v>141</v>
      </c>
      <c r="F30" s="11" t="s">
        <v>21</v>
      </c>
      <c r="G30" s="11">
        <v>3</v>
      </c>
      <c r="H30" s="11">
        <v>22000</v>
      </c>
      <c r="I30" s="11">
        <v>0</v>
      </c>
      <c r="J30" s="11">
        <v>66000</v>
      </c>
      <c r="K30" s="11">
        <v>56856.3</v>
      </c>
      <c r="L30" s="11">
        <v>9143.7000000000007</v>
      </c>
      <c r="M30" s="11" t="s">
        <v>70</v>
      </c>
      <c r="N30" s="11" t="s">
        <v>71</v>
      </c>
      <c r="O30" s="11" t="s">
        <v>45</v>
      </c>
      <c r="P30" s="11" t="s">
        <v>95</v>
      </c>
      <c r="Q30" s="11" t="s">
        <v>26</v>
      </c>
    </row>
    <row r="31" spans="1:17" x14ac:dyDescent="0.25">
      <c r="A31" s="11" t="s">
        <v>142</v>
      </c>
      <c r="B31" s="12">
        <v>45962</v>
      </c>
      <c r="C31" s="11" t="s">
        <v>143</v>
      </c>
      <c r="D31" s="11" t="s">
        <v>144</v>
      </c>
      <c r="E31" s="11" t="s">
        <v>62</v>
      </c>
      <c r="F31" s="11" t="s">
        <v>21</v>
      </c>
      <c r="G31" s="11">
        <v>2</v>
      </c>
      <c r="H31" s="11">
        <v>1800</v>
      </c>
      <c r="I31" s="11">
        <v>0</v>
      </c>
      <c r="J31" s="11">
        <v>3600</v>
      </c>
      <c r="K31" s="11">
        <v>3053.59</v>
      </c>
      <c r="L31" s="11">
        <v>546.41</v>
      </c>
      <c r="M31" s="11" t="s">
        <v>43</v>
      </c>
      <c r="N31" s="11" t="s">
        <v>44</v>
      </c>
      <c r="O31" s="11" t="s">
        <v>24</v>
      </c>
      <c r="P31" s="11" t="s">
        <v>55</v>
      </c>
      <c r="Q31" s="11" t="s">
        <v>47</v>
      </c>
    </row>
    <row r="32" spans="1:17" x14ac:dyDescent="0.25">
      <c r="A32" s="11" t="s">
        <v>145</v>
      </c>
      <c r="B32" s="12">
        <v>45678</v>
      </c>
      <c r="C32" s="11" t="s">
        <v>146</v>
      </c>
      <c r="D32" s="11" t="s">
        <v>147</v>
      </c>
      <c r="E32" s="11" t="s">
        <v>116</v>
      </c>
      <c r="F32" s="11" t="s">
        <v>94</v>
      </c>
      <c r="G32" s="11">
        <v>5</v>
      </c>
      <c r="H32" s="11">
        <v>1800</v>
      </c>
      <c r="I32" s="11">
        <v>0.2</v>
      </c>
      <c r="J32" s="11">
        <v>7200</v>
      </c>
      <c r="K32" s="11">
        <v>7210.76</v>
      </c>
      <c r="L32" s="11">
        <v>-10.76</v>
      </c>
      <c r="M32" s="11" t="s">
        <v>43</v>
      </c>
      <c r="N32" s="11" t="s">
        <v>44</v>
      </c>
      <c r="O32" s="11" t="s">
        <v>24</v>
      </c>
      <c r="P32" s="11" t="s">
        <v>25</v>
      </c>
      <c r="Q32" s="11" t="s">
        <v>26</v>
      </c>
    </row>
    <row r="33" spans="1:17" x14ac:dyDescent="0.25">
      <c r="A33" s="11" t="s">
        <v>148</v>
      </c>
      <c r="B33" s="12">
        <v>45780</v>
      </c>
      <c r="C33" s="11" t="s">
        <v>149</v>
      </c>
      <c r="D33" s="11" t="s">
        <v>150</v>
      </c>
      <c r="E33" s="11" t="s">
        <v>41</v>
      </c>
      <c r="F33" s="11" t="s">
        <v>42</v>
      </c>
      <c r="G33" s="11">
        <v>2</v>
      </c>
      <c r="H33" s="11">
        <v>7500</v>
      </c>
      <c r="I33" s="11">
        <v>0.1</v>
      </c>
      <c r="J33" s="11">
        <v>13500</v>
      </c>
      <c r="K33" s="11">
        <v>10201.530000000001</v>
      </c>
      <c r="L33" s="11">
        <v>3298.47</v>
      </c>
      <c r="M33" s="11" t="s">
        <v>36</v>
      </c>
      <c r="N33" s="11" t="s">
        <v>23</v>
      </c>
      <c r="O33" s="11" t="s">
        <v>24</v>
      </c>
      <c r="P33" s="11" t="s">
        <v>46</v>
      </c>
      <c r="Q33" s="11" t="s">
        <v>26</v>
      </c>
    </row>
    <row r="34" spans="1:17" x14ac:dyDescent="0.25">
      <c r="A34" s="11" t="s">
        <v>151</v>
      </c>
      <c r="B34" s="12">
        <v>45892</v>
      </c>
      <c r="C34" s="11" t="s">
        <v>152</v>
      </c>
      <c r="D34" s="11" t="s">
        <v>153</v>
      </c>
      <c r="E34" s="11" t="s">
        <v>66</v>
      </c>
      <c r="F34" s="11" t="s">
        <v>31</v>
      </c>
      <c r="G34" s="11">
        <v>1</v>
      </c>
      <c r="H34" s="11">
        <v>3500</v>
      </c>
      <c r="I34" s="11">
        <v>0</v>
      </c>
      <c r="J34" s="11">
        <v>3500</v>
      </c>
      <c r="K34" s="11">
        <v>2707.8</v>
      </c>
      <c r="L34" s="11">
        <v>792.2</v>
      </c>
      <c r="M34" s="11" t="s">
        <v>43</v>
      </c>
      <c r="N34" s="11" t="s">
        <v>44</v>
      </c>
      <c r="O34" s="11" t="s">
        <v>24</v>
      </c>
      <c r="P34" s="11" t="s">
        <v>46</v>
      </c>
      <c r="Q34" s="11" t="s">
        <v>26</v>
      </c>
    </row>
    <row r="35" spans="1:17" x14ac:dyDescent="0.25">
      <c r="A35" s="11" t="s">
        <v>154</v>
      </c>
      <c r="B35" s="12">
        <v>45847</v>
      </c>
      <c r="C35" s="11" t="s">
        <v>88</v>
      </c>
      <c r="D35" s="11" t="s">
        <v>89</v>
      </c>
      <c r="E35" s="11" t="s">
        <v>54</v>
      </c>
      <c r="F35" s="11" t="s">
        <v>31</v>
      </c>
      <c r="G35" s="11">
        <v>1</v>
      </c>
      <c r="H35" s="11">
        <v>2800</v>
      </c>
      <c r="I35" s="11">
        <v>0.05</v>
      </c>
      <c r="J35" s="11">
        <v>2660</v>
      </c>
      <c r="K35" s="11">
        <v>2102.19</v>
      </c>
      <c r="L35" s="11">
        <v>557.80999999999995</v>
      </c>
      <c r="M35" s="11" t="s">
        <v>36</v>
      </c>
      <c r="N35" s="11" t="s">
        <v>23</v>
      </c>
      <c r="O35" s="11" t="s">
        <v>45</v>
      </c>
      <c r="P35" s="11" t="s">
        <v>46</v>
      </c>
      <c r="Q35" s="11" t="s">
        <v>47</v>
      </c>
    </row>
    <row r="36" spans="1:17" x14ac:dyDescent="0.25">
      <c r="A36" s="11" t="s">
        <v>155</v>
      </c>
      <c r="B36" s="12">
        <v>45997</v>
      </c>
      <c r="C36" s="11" t="s">
        <v>156</v>
      </c>
      <c r="D36" s="11" t="s">
        <v>157</v>
      </c>
      <c r="E36" s="11" t="s">
        <v>158</v>
      </c>
      <c r="F36" s="11" t="s">
        <v>21</v>
      </c>
      <c r="G36" s="11">
        <v>5</v>
      </c>
      <c r="H36" s="11">
        <v>55000</v>
      </c>
      <c r="I36" s="11">
        <v>0.1</v>
      </c>
      <c r="J36" s="11">
        <v>247500</v>
      </c>
      <c r="K36" s="11">
        <v>234291.53</v>
      </c>
      <c r="L36" s="11">
        <v>13208.47</v>
      </c>
      <c r="M36" s="11" t="s">
        <v>43</v>
      </c>
      <c r="N36" s="11" t="s">
        <v>44</v>
      </c>
      <c r="O36" s="11" t="s">
        <v>24</v>
      </c>
      <c r="P36" s="11" t="s">
        <v>55</v>
      </c>
      <c r="Q36" s="11" t="s">
        <v>26</v>
      </c>
    </row>
    <row r="37" spans="1:17" x14ac:dyDescent="0.25">
      <c r="A37" s="11" t="s">
        <v>159</v>
      </c>
      <c r="B37" s="12">
        <v>45967</v>
      </c>
      <c r="C37" s="11" t="s">
        <v>160</v>
      </c>
      <c r="D37" s="11" t="s">
        <v>161</v>
      </c>
      <c r="E37" s="11" t="s">
        <v>107</v>
      </c>
      <c r="F37" s="11" t="s">
        <v>108</v>
      </c>
      <c r="G37" s="11">
        <v>3</v>
      </c>
      <c r="H37" s="11">
        <v>1400</v>
      </c>
      <c r="I37" s="11">
        <v>0.1</v>
      </c>
      <c r="J37" s="11">
        <v>3780</v>
      </c>
      <c r="K37" s="11">
        <v>3061.22</v>
      </c>
      <c r="L37" s="11">
        <v>718.78</v>
      </c>
      <c r="M37" s="11" t="s">
        <v>22</v>
      </c>
      <c r="N37" s="11" t="s">
        <v>23</v>
      </c>
      <c r="O37" s="11" t="s">
        <v>32</v>
      </c>
      <c r="P37" s="11" t="s">
        <v>46</v>
      </c>
      <c r="Q37" s="11" t="s">
        <v>47</v>
      </c>
    </row>
    <row r="38" spans="1:17" x14ac:dyDescent="0.25">
      <c r="A38" s="11" t="s">
        <v>162</v>
      </c>
      <c r="B38" s="12">
        <v>45705</v>
      </c>
      <c r="C38" s="11" t="s">
        <v>163</v>
      </c>
      <c r="D38" s="11" t="s">
        <v>164</v>
      </c>
      <c r="E38" s="11" t="s">
        <v>123</v>
      </c>
      <c r="F38" s="11" t="s">
        <v>21</v>
      </c>
      <c r="G38" s="11">
        <v>3</v>
      </c>
      <c r="H38" s="11">
        <v>2200</v>
      </c>
      <c r="I38" s="13">
        <v>0</v>
      </c>
      <c r="J38" s="11">
        <v>6600</v>
      </c>
      <c r="K38" s="11">
        <v>4710</v>
      </c>
      <c r="L38" s="11">
        <v>1890</v>
      </c>
      <c r="M38" s="11" t="s">
        <v>75</v>
      </c>
      <c r="N38" s="11" t="s">
        <v>76</v>
      </c>
      <c r="O38" s="11" t="s">
        <v>32</v>
      </c>
      <c r="P38" s="11" t="s">
        <v>46</v>
      </c>
      <c r="Q38" s="11" t="s">
        <v>26</v>
      </c>
    </row>
    <row r="39" spans="1:17" x14ac:dyDescent="0.25">
      <c r="A39" s="11" t="s">
        <v>165</v>
      </c>
      <c r="B39" s="12">
        <v>45940</v>
      </c>
      <c r="C39" s="11" t="s">
        <v>166</v>
      </c>
      <c r="D39" s="11" t="s">
        <v>167</v>
      </c>
      <c r="E39" s="11" t="s">
        <v>41</v>
      </c>
      <c r="F39" s="11" t="s">
        <v>42</v>
      </c>
      <c r="G39" s="11">
        <v>2</v>
      </c>
      <c r="H39" s="11">
        <v>7500</v>
      </c>
      <c r="I39" s="13">
        <v>0.15</v>
      </c>
      <c r="J39" s="11">
        <v>12750</v>
      </c>
      <c r="K39" s="11">
        <v>9783.36</v>
      </c>
      <c r="L39" s="11">
        <v>2966.64</v>
      </c>
      <c r="M39" s="11" t="s">
        <v>75</v>
      </c>
      <c r="N39" s="11" t="s">
        <v>76</v>
      </c>
      <c r="O39" s="11" t="s">
        <v>45</v>
      </c>
      <c r="P39" s="11" t="s">
        <v>95</v>
      </c>
      <c r="Q39" s="11" t="s">
        <v>47</v>
      </c>
    </row>
    <row r="40" spans="1:17" x14ac:dyDescent="0.25">
      <c r="A40" s="11" t="s">
        <v>168</v>
      </c>
      <c r="B40" s="12">
        <v>45940</v>
      </c>
      <c r="C40" s="11" t="s">
        <v>169</v>
      </c>
      <c r="D40" s="11" t="s">
        <v>170</v>
      </c>
      <c r="E40" s="11" t="s">
        <v>141</v>
      </c>
      <c r="F40" s="11" t="s">
        <v>21</v>
      </c>
      <c r="G40" s="11">
        <v>3</v>
      </c>
      <c r="H40" s="11">
        <v>22000</v>
      </c>
      <c r="I40" s="11">
        <v>0.2</v>
      </c>
      <c r="J40" s="11">
        <v>52800</v>
      </c>
      <c r="K40" s="11">
        <v>44834.62</v>
      </c>
      <c r="L40" s="11">
        <v>7965.38</v>
      </c>
      <c r="M40" s="11" t="s">
        <v>80</v>
      </c>
      <c r="N40" s="11" t="s">
        <v>81</v>
      </c>
      <c r="O40" s="11" t="s">
        <v>45</v>
      </c>
      <c r="P40" s="11" t="s">
        <v>46</v>
      </c>
      <c r="Q40" s="11" t="s">
        <v>26</v>
      </c>
    </row>
    <row r="41" spans="1:17" x14ac:dyDescent="0.25">
      <c r="A41" s="11" t="s">
        <v>171</v>
      </c>
      <c r="B41" s="12">
        <v>45999</v>
      </c>
      <c r="C41" s="11" t="s">
        <v>172</v>
      </c>
      <c r="D41" s="11" t="s">
        <v>173</v>
      </c>
      <c r="E41" s="11" t="s">
        <v>54</v>
      </c>
      <c r="F41" s="11" t="s">
        <v>31</v>
      </c>
      <c r="G41" s="11">
        <v>2</v>
      </c>
      <c r="H41" s="11">
        <v>2800</v>
      </c>
      <c r="I41" s="11">
        <v>0.05</v>
      </c>
      <c r="J41" s="11">
        <v>5320</v>
      </c>
      <c r="K41" s="11">
        <v>4644.79</v>
      </c>
      <c r="L41" s="11">
        <v>675.21</v>
      </c>
      <c r="M41" s="11" t="s">
        <v>43</v>
      </c>
      <c r="N41" s="11" t="s">
        <v>44</v>
      </c>
      <c r="O41" s="11" t="s">
        <v>45</v>
      </c>
      <c r="P41" s="11" t="s">
        <v>25</v>
      </c>
      <c r="Q41" s="11" t="s">
        <v>60</v>
      </c>
    </row>
    <row r="42" spans="1:17" x14ac:dyDescent="0.25">
      <c r="A42" s="11" t="s">
        <v>174</v>
      </c>
      <c r="B42" s="12">
        <v>45748</v>
      </c>
      <c r="C42" s="11" t="s">
        <v>175</v>
      </c>
      <c r="D42" s="11" t="s">
        <v>176</v>
      </c>
      <c r="E42" s="11" t="s">
        <v>107</v>
      </c>
      <c r="F42" s="11" t="s">
        <v>108</v>
      </c>
      <c r="G42" s="11">
        <v>2</v>
      </c>
      <c r="H42" s="11">
        <v>1400</v>
      </c>
      <c r="I42" s="11">
        <v>0.05</v>
      </c>
      <c r="J42" s="11">
        <v>2660</v>
      </c>
      <c r="K42" s="11">
        <v>1935.51</v>
      </c>
      <c r="L42" s="11">
        <v>724.49</v>
      </c>
      <c r="M42" s="11" t="s">
        <v>75</v>
      </c>
      <c r="N42" s="11" t="s">
        <v>76</v>
      </c>
      <c r="O42" s="11" t="s">
        <v>45</v>
      </c>
      <c r="P42" s="11" t="s">
        <v>37</v>
      </c>
      <c r="Q42" s="11" t="s">
        <v>60</v>
      </c>
    </row>
    <row r="43" spans="1:17" x14ac:dyDescent="0.25">
      <c r="A43" s="11" t="s">
        <v>177</v>
      </c>
      <c r="B43" s="12">
        <v>46017</v>
      </c>
      <c r="C43" s="11" t="s">
        <v>178</v>
      </c>
      <c r="D43" s="11" t="s">
        <v>179</v>
      </c>
      <c r="E43" s="11" t="s">
        <v>116</v>
      </c>
      <c r="F43" s="11" t="s">
        <v>94</v>
      </c>
      <c r="G43" s="11">
        <v>3</v>
      </c>
      <c r="H43" s="11">
        <v>1800</v>
      </c>
      <c r="I43" s="11">
        <v>0.05</v>
      </c>
      <c r="J43" s="11">
        <v>5130</v>
      </c>
      <c r="K43" s="11">
        <v>4593.2299999999996</v>
      </c>
      <c r="L43" s="11">
        <v>536.77</v>
      </c>
      <c r="M43" s="11" t="s">
        <v>43</v>
      </c>
      <c r="N43" s="11" t="s">
        <v>44</v>
      </c>
      <c r="O43" s="11" t="s">
        <v>45</v>
      </c>
      <c r="P43" s="11" t="s">
        <v>95</v>
      </c>
      <c r="Q43" s="11" t="s">
        <v>26</v>
      </c>
    </row>
    <row r="44" spans="1:17" x14ac:dyDescent="0.25">
      <c r="A44" s="11" t="s">
        <v>180</v>
      </c>
      <c r="B44" s="12">
        <v>45774</v>
      </c>
      <c r="C44" s="11" t="s">
        <v>175</v>
      </c>
      <c r="D44" s="11" t="s">
        <v>176</v>
      </c>
      <c r="E44" s="11" t="s">
        <v>131</v>
      </c>
      <c r="F44" s="11" t="s">
        <v>21</v>
      </c>
      <c r="G44" s="11">
        <v>3</v>
      </c>
      <c r="H44" s="11">
        <v>1600</v>
      </c>
      <c r="I44" s="11">
        <v>0.1</v>
      </c>
      <c r="J44" s="11">
        <v>4320</v>
      </c>
      <c r="K44" s="11">
        <v>3848.68</v>
      </c>
      <c r="L44" s="11">
        <v>471.32</v>
      </c>
      <c r="M44" s="11" t="s">
        <v>22</v>
      </c>
      <c r="N44" s="11" t="s">
        <v>23</v>
      </c>
      <c r="O44" s="11" t="s">
        <v>24</v>
      </c>
      <c r="P44" s="11" t="s">
        <v>46</v>
      </c>
      <c r="Q44" s="11" t="s">
        <v>26</v>
      </c>
    </row>
    <row r="45" spans="1:17" x14ac:dyDescent="0.25">
      <c r="A45" s="11" t="s">
        <v>181</v>
      </c>
      <c r="B45" s="12">
        <v>45986</v>
      </c>
      <c r="C45" s="11" t="s">
        <v>182</v>
      </c>
      <c r="D45" s="11" t="s">
        <v>183</v>
      </c>
      <c r="E45" s="11" t="s">
        <v>62</v>
      </c>
      <c r="F45" s="11" t="s">
        <v>21</v>
      </c>
      <c r="G45" s="11">
        <v>3</v>
      </c>
      <c r="H45" s="11">
        <v>1800</v>
      </c>
      <c r="I45" s="11">
        <v>0.1</v>
      </c>
      <c r="J45" s="11">
        <v>4860</v>
      </c>
      <c r="K45" s="11">
        <v>4728.59</v>
      </c>
      <c r="L45" s="11">
        <v>131.41</v>
      </c>
      <c r="M45" s="11" t="s">
        <v>75</v>
      </c>
      <c r="N45" s="11" t="s">
        <v>76</v>
      </c>
      <c r="O45" s="11" t="s">
        <v>45</v>
      </c>
      <c r="P45" s="11" t="s">
        <v>46</v>
      </c>
      <c r="Q45" s="11" t="s">
        <v>26</v>
      </c>
    </row>
    <row r="46" spans="1:17" x14ac:dyDescent="0.25">
      <c r="A46" s="11" t="s">
        <v>184</v>
      </c>
      <c r="B46" s="12">
        <v>45955</v>
      </c>
      <c r="C46" s="11" t="s">
        <v>185</v>
      </c>
      <c r="D46" s="11" t="s">
        <v>186</v>
      </c>
      <c r="E46" s="11" t="s">
        <v>20</v>
      </c>
      <c r="F46" s="11" t="s">
        <v>21</v>
      </c>
      <c r="G46" s="11">
        <v>3</v>
      </c>
      <c r="H46" s="11">
        <v>4500</v>
      </c>
      <c r="I46" s="11">
        <v>0.05</v>
      </c>
      <c r="J46" s="11">
        <v>12825</v>
      </c>
      <c r="K46" s="11">
        <v>9111.59</v>
      </c>
      <c r="L46" s="11">
        <v>3713.41</v>
      </c>
      <c r="M46" s="11" t="s">
        <v>36</v>
      </c>
      <c r="N46" s="11" t="s">
        <v>23</v>
      </c>
      <c r="O46" s="11" t="s">
        <v>32</v>
      </c>
      <c r="P46" s="11" t="s">
        <v>46</v>
      </c>
      <c r="Q46" s="11" t="s">
        <v>60</v>
      </c>
    </row>
    <row r="47" spans="1:17" x14ac:dyDescent="0.25">
      <c r="A47" s="11" t="s">
        <v>187</v>
      </c>
      <c r="B47" s="12">
        <v>45919</v>
      </c>
      <c r="C47" s="11" t="s">
        <v>188</v>
      </c>
      <c r="D47" s="11" t="s">
        <v>189</v>
      </c>
      <c r="E47" s="11" t="s">
        <v>66</v>
      </c>
      <c r="F47" s="11" t="s">
        <v>31</v>
      </c>
      <c r="G47" s="11">
        <v>4</v>
      </c>
      <c r="H47" s="11">
        <v>3500</v>
      </c>
      <c r="I47" s="13">
        <v>0.2</v>
      </c>
      <c r="J47" s="11">
        <v>11200</v>
      </c>
      <c r="K47" s="11">
        <v>11996.41</v>
      </c>
      <c r="L47" s="11">
        <v>-796.41</v>
      </c>
      <c r="M47" s="11" t="s">
        <v>43</v>
      </c>
      <c r="N47" s="11" t="s">
        <v>44</v>
      </c>
      <c r="O47" s="11" t="s">
        <v>24</v>
      </c>
      <c r="P47" s="11" t="s">
        <v>46</v>
      </c>
      <c r="Q47" s="11" t="s">
        <v>26</v>
      </c>
    </row>
    <row r="48" spans="1:17" x14ac:dyDescent="0.25">
      <c r="A48" s="11" t="s">
        <v>190</v>
      </c>
      <c r="B48" s="12">
        <v>45933</v>
      </c>
      <c r="C48" s="11" t="s">
        <v>191</v>
      </c>
      <c r="D48" s="11" t="s">
        <v>192</v>
      </c>
      <c r="E48" s="11" t="s">
        <v>30</v>
      </c>
      <c r="F48" s="11" t="s">
        <v>31</v>
      </c>
      <c r="G48" s="11">
        <v>1</v>
      </c>
      <c r="H48" s="11">
        <v>1200</v>
      </c>
      <c r="I48" s="11">
        <v>0.2</v>
      </c>
      <c r="J48" s="11">
        <v>960</v>
      </c>
      <c r="K48" s="11">
        <v>899.04</v>
      </c>
      <c r="L48" s="11">
        <v>60.96</v>
      </c>
      <c r="M48" s="11" t="s">
        <v>22</v>
      </c>
      <c r="N48" s="11" t="s">
        <v>23</v>
      </c>
      <c r="O48" s="11" t="s">
        <v>45</v>
      </c>
      <c r="P48" s="11" t="s">
        <v>46</v>
      </c>
      <c r="Q48" s="11" t="s">
        <v>47</v>
      </c>
    </row>
    <row r="49" spans="1:17" x14ac:dyDescent="0.25">
      <c r="A49" s="11" t="s">
        <v>193</v>
      </c>
      <c r="B49" s="12">
        <v>45917</v>
      </c>
      <c r="C49" s="11" t="s">
        <v>194</v>
      </c>
      <c r="D49" s="11" t="s">
        <v>195</v>
      </c>
      <c r="E49" s="11" t="s">
        <v>66</v>
      </c>
      <c r="F49" s="11" t="s">
        <v>31</v>
      </c>
      <c r="G49" s="11">
        <v>1</v>
      </c>
      <c r="H49" s="11">
        <v>3500</v>
      </c>
      <c r="I49" s="11">
        <v>0.1</v>
      </c>
      <c r="J49" s="11">
        <v>3150</v>
      </c>
      <c r="K49" s="11">
        <v>2603.7600000000002</v>
      </c>
      <c r="L49" s="11">
        <v>546.24</v>
      </c>
      <c r="M49" s="11" t="s">
        <v>36</v>
      </c>
      <c r="N49" s="11" t="s">
        <v>23</v>
      </c>
      <c r="O49" s="11" t="s">
        <v>32</v>
      </c>
      <c r="P49" s="11" t="s">
        <v>46</v>
      </c>
      <c r="Q49" s="11" t="s">
        <v>47</v>
      </c>
    </row>
    <row r="50" spans="1:17" x14ac:dyDescent="0.25">
      <c r="A50" s="11" t="s">
        <v>196</v>
      </c>
      <c r="B50" s="12">
        <v>45998</v>
      </c>
      <c r="C50" s="11" t="s">
        <v>182</v>
      </c>
      <c r="D50" s="11" t="s">
        <v>183</v>
      </c>
      <c r="E50" s="11" t="s">
        <v>107</v>
      </c>
      <c r="F50" s="11" t="s">
        <v>108</v>
      </c>
      <c r="G50" s="11">
        <v>2</v>
      </c>
      <c r="H50" s="11">
        <v>1400</v>
      </c>
      <c r="I50" s="13">
        <v>0.15</v>
      </c>
      <c r="J50" s="11">
        <v>2380</v>
      </c>
      <c r="K50" s="11">
        <v>2301.8000000000002</v>
      </c>
      <c r="L50" s="11">
        <v>78.2</v>
      </c>
      <c r="M50" s="11" t="s">
        <v>75</v>
      </c>
      <c r="N50" s="11" t="s">
        <v>76</v>
      </c>
      <c r="O50" s="11" t="s">
        <v>24</v>
      </c>
      <c r="P50" s="11" t="s">
        <v>25</v>
      </c>
      <c r="Q50" s="11" t="s">
        <v>47</v>
      </c>
    </row>
    <row r="51" spans="1:17" x14ac:dyDescent="0.25">
      <c r="A51" s="11" t="s">
        <v>197</v>
      </c>
      <c r="B51" s="12">
        <v>45658</v>
      </c>
      <c r="C51" s="11" t="s">
        <v>198</v>
      </c>
      <c r="D51" s="11" t="s">
        <v>199</v>
      </c>
      <c r="E51" s="11" t="s">
        <v>103</v>
      </c>
      <c r="F51" s="11" t="s">
        <v>42</v>
      </c>
      <c r="G51" s="11">
        <v>4</v>
      </c>
      <c r="H51" s="11">
        <v>6000</v>
      </c>
      <c r="I51" s="11">
        <v>0.2</v>
      </c>
      <c r="J51" s="11">
        <v>19200</v>
      </c>
      <c r="K51" s="11">
        <v>16760.21</v>
      </c>
      <c r="L51" s="11">
        <v>2439.79</v>
      </c>
      <c r="M51" s="11" t="s">
        <v>36</v>
      </c>
      <c r="N51" s="11" t="s">
        <v>23</v>
      </c>
      <c r="O51" s="11" t="s">
        <v>24</v>
      </c>
      <c r="P51" s="11" t="s">
        <v>25</v>
      </c>
      <c r="Q51" s="11" t="s">
        <v>60</v>
      </c>
    </row>
    <row r="52" spans="1:17" x14ac:dyDescent="0.25">
      <c r="A52" s="11" t="s">
        <v>200</v>
      </c>
      <c r="B52" s="12">
        <v>45884</v>
      </c>
      <c r="C52" s="11" t="s">
        <v>201</v>
      </c>
      <c r="D52" s="11" t="s">
        <v>202</v>
      </c>
      <c r="E52" s="11" t="s">
        <v>66</v>
      </c>
      <c r="F52" s="11" t="s">
        <v>31</v>
      </c>
      <c r="G52" s="11">
        <v>4</v>
      </c>
      <c r="H52" s="11">
        <v>3500</v>
      </c>
      <c r="I52" s="11">
        <v>0.15</v>
      </c>
      <c r="J52" s="11">
        <v>11900</v>
      </c>
      <c r="K52" s="11">
        <v>10623.66</v>
      </c>
      <c r="L52" s="11">
        <v>1276.3399999999999</v>
      </c>
      <c r="M52" s="11" t="s">
        <v>22</v>
      </c>
      <c r="N52" s="11" t="s">
        <v>23</v>
      </c>
      <c r="O52" s="11" t="s">
        <v>32</v>
      </c>
      <c r="P52" s="11" t="s">
        <v>95</v>
      </c>
      <c r="Q52" s="11" t="s">
        <v>60</v>
      </c>
    </row>
    <row r="53" spans="1:17" x14ac:dyDescent="0.25">
      <c r="A53" s="11" t="s">
        <v>203</v>
      </c>
      <c r="B53" s="12">
        <v>45997</v>
      </c>
      <c r="C53" s="11" t="s">
        <v>39</v>
      </c>
      <c r="D53" s="11" t="s">
        <v>40</v>
      </c>
      <c r="E53" s="11" t="s">
        <v>62</v>
      </c>
      <c r="F53" s="11" t="s">
        <v>21</v>
      </c>
      <c r="G53" s="11">
        <v>3</v>
      </c>
      <c r="H53" s="11">
        <v>1800</v>
      </c>
      <c r="I53" s="13">
        <v>0.2</v>
      </c>
      <c r="J53" s="11">
        <v>4320</v>
      </c>
      <c r="K53" s="11">
        <v>4526.4799999999996</v>
      </c>
      <c r="L53" s="11">
        <v>-206.48</v>
      </c>
      <c r="M53" s="11" t="s">
        <v>59</v>
      </c>
      <c r="N53" s="11" t="s">
        <v>59</v>
      </c>
      <c r="O53" s="11" t="s">
        <v>32</v>
      </c>
      <c r="P53" s="11" t="s">
        <v>46</v>
      </c>
      <c r="Q53" s="11" t="s">
        <v>26</v>
      </c>
    </row>
    <row r="54" spans="1:17" x14ac:dyDescent="0.25">
      <c r="A54" s="11" t="s">
        <v>204</v>
      </c>
      <c r="B54" s="12">
        <v>45681</v>
      </c>
      <c r="C54" s="11" t="s">
        <v>205</v>
      </c>
      <c r="D54" s="11" t="s">
        <v>206</v>
      </c>
      <c r="E54" s="11" t="s">
        <v>112</v>
      </c>
      <c r="F54" s="11" t="s">
        <v>94</v>
      </c>
      <c r="G54" s="11">
        <v>2</v>
      </c>
      <c r="H54" s="11">
        <v>800</v>
      </c>
      <c r="I54" s="13">
        <v>0</v>
      </c>
      <c r="J54" s="11">
        <v>1600</v>
      </c>
      <c r="K54" s="11">
        <v>1264.95</v>
      </c>
      <c r="L54" s="11">
        <v>335.05</v>
      </c>
      <c r="M54" s="11" t="s">
        <v>22</v>
      </c>
      <c r="N54" s="11" t="s">
        <v>23</v>
      </c>
      <c r="O54" s="11" t="s">
        <v>32</v>
      </c>
      <c r="P54" s="11" t="s">
        <v>37</v>
      </c>
      <c r="Q54" s="11" t="s">
        <v>26</v>
      </c>
    </row>
    <row r="55" spans="1:17" x14ac:dyDescent="0.25">
      <c r="A55" s="11" t="s">
        <v>207</v>
      </c>
      <c r="B55" s="12">
        <v>45862</v>
      </c>
      <c r="C55" s="11" t="s">
        <v>208</v>
      </c>
      <c r="D55" s="11" t="s">
        <v>209</v>
      </c>
      <c r="E55" s="11" t="s">
        <v>112</v>
      </c>
      <c r="F55" s="11" t="s">
        <v>94</v>
      </c>
      <c r="G55" s="11">
        <v>4</v>
      </c>
      <c r="H55" s="11">
        <v>800</v>
      </c>
      <c r="I55" s="13">
        <v>0.15</v>
      </c>
      <c r="J55" s="11">
        <v>2720</v>
      </c>
      <c r="K55" s="11">
        <v>2562.86</v>
      </c>
      <c r="L55" s="11">
        <v>157.13999999999999</v>
      </c>
      <c r="M55" s="11" t="s">
        <v>22</v>
      </c>
      <c r="N55" s="11" t="s">
        <v>23</v>
      </c>
      <c r="O55" s="11" t="s">
        <v>32</v>
      </c>
      <c r="P55" s="11" t="s">
        <v>55</v>
      </c>
      <c r="Q55" s="11" t="s">
        <v>26</v>
      </c>
    </row>
    <row r="56" spans="1:17" x14ac:dyDescent="0.25">
      <c r="A56" s="11" t="s">
        <v>210</v>
      </c>
      <c r="B56" s="12">
        <v>45895</v>
      </c>
      <c r="C56" s="11" t="s">
        <v>211</v>
      </c>
      <c r="D56" s="11" t="s">
        <v>212</v>
      </c>
      <c r="E56" s="11" t="s">
        <v>116</v>
      </c>
      <c r="F56" s="11" t="s">
        <v>94</v>
      </c>
      <c r="G56" s="11">
        <v>2</v>
      </c>
      <c r="H56" s="11">
        <v>1800</v>
      </c>
      <c r="I56" s="13">
        <v>0.2</v>
      </c>
      <c r="J56" s="11">
        <v>2880</v>
      </c>
      <c r="K56" s="11">
        <v>2546.34</v>
      </c>
      <c r="L56" s="11">
        <v>333.66</v>
      </c>
      <c r="M56" s="11" t="s">
        <v>99</v>
      </c>
      <c r="N56" s="11" t="s">
        <v>71</v>
      </c>
      <c r="O56" s="11" t="s">
        <v>45</v>
      </c>
      <c r="P56" s="11" t="s">
        <v>37</v>
      </c>
      <c r="Q56" s="11" t="s">
        <v>26</v>
      </c>
    </row>
    <row r="57" spans="1:17" x14ac:dyDescent="0.25">
      <c r="A57" s="11" t="s">
        <v>213</v>
      </c>
      <c r="B57" s="12">
        <v>45962</v>
      </c>
      <c r="C57" s="11" t="s">
        <v>214</v>
      </c>
      <c r="D57" s="11" t="s">
        <v>215</v>
      </c>
      <c r="E57" s="11" t="s">
        <v>131</v>
      </c>
      <c r="F57" s="11" t="s">
        <v>21</v>
      </c>
      <c r="G57" s="11">
        <v>5</v>
      </c>
      <c r="H57" s="11">
        <v>1600</v>
      </c>
      <c r="I57" s="11">
        <v>0.2</v>
      </c>
      <c r="J57" s="11">
        <v>6400</v>
      </c>
      <c r="K57" s="11">
        <v>6589.66</v>
      </c>
      <c r="L57" s="11">
        <v>-189.66</v>
      </c>
      <c r="M57" s="11" t="s">
        <v>59</v>
      </c>
      <c r="N57" s="11" t="s">
        <v>59</v>
      </c>
      <c r="O57" s="11" t="s">
        <v>32</v>
      </c>
      <c r="P57" s="11" t="s">
        <v>25</v>
      </c>
      <c r="Q57" s="11" t="s">
        <v>60</v>
      </c>
    </row>
    <row r="58" spans="1:17" x14ac:dyDescent="0.25">
      <c r="A58" s="11" t="s">
        <v>216</v>
      </c>
      <c r="B58" s="12">
        <v>45739</v>
      </c>
      <c r="C58" s="11" t="s">
        <v>217</v>
      </c>
      <c r="D58" s="11" t="s">
        <v>218</v>
      </c>
      <c r="E58" s="11" t="s">
        <v>30</v>
      </c>
      <c r="F58" s="11" t="s">
        <v>31</v>
      </c>
      <c r="G58" s="11">
        <v>5</v>
      </c>
      <c r="H58" s="11">
        <v>1200</v>
      </c>
      <c r="I58" s="13">
        <v>0.15</v>
      </c>
      <c r="J58" s="11">
        <v>5100</v>
      </c>
      <c r="K58" s="11">
        <v>4257.68</v>
      </c>
      <c r="L58" s="11">
        <v>842.32</v>
      </c>
      <c r="M58" s="11" t="s">
        <v>70</v>
      </c>
      <c r="N58" s="11" t="s">
        <v>71</v>
      </c>
      <c r="O58" s="11" t="s">
        <v>45</v>
      </c>
      <c r="P58" s="11" t="s">
        <v>46</v>
      </c>
      <c r="Q58" s="11" t="s">
        <v>47</v>
      </c>
    </row>
    <row r="59" spans="1:17" x14ac:dyDescent="0.25">
      <c r="A59" s="11" t="s">
        <v>219</v>
      </c>
      <c r="B59" s="12">
        <v>45883</v>
      </c>
      <c r="C59" s="11" t="s">
        <v>220</v>
      </c>
      <c r="D59" s="11" t="s">
        <v>221</v>
      </c>
      <c r="E59" s="11" t="s">
        <v>123</v>
      </c>
      <c r="F59" s="11" t="s">
        <v>21</v>
      </c>
      <c r="G59" s="11">
        <v>2</v>
      </c>
      <c r="H59" s="11">
        <v>2200</v>
      </c>
      <c r="I59" s="11">
        <v>0.1</v>
      </c>
      <c r="J59" s="11">
        <v>3960</v>
      </c>
      <c r="K59" s="11">
        <v>3149.16</v>
      </c>
      <c r="L59" s="11">
        <v>810.84</v>
      </c>
      <c r="M59" s="11" t="s">
        <v>43</v>
      </c>
      <c r="N59" s="11" t="s">
        <v>44</v>
      </c>
      <c r="O59" s="11" t="s">
        <v>32</v>
      </c>
      <c r="P59" s="11" t="s">
        <v>46</v>
      </c>
      <c r="Q59" s="11" t="s">
        <v>26</v>
      </c>
    </row>
    <row r="60" spans="1:17" x14ac:dyDescent="0.25">
      <c r="A60" s="11" t="s">
        <v>222</v>
      </c>
      <c r="B60" s="12">
        <v>45776</v>
      </c>
      <c r="C60" s="11" t="s">
        <v>223</v>
      </c>
      <c r="D60" s="11" t="s">
        <v>224</v>
      </c>
      <c r="E60" s="11" t="s">
        <v>62</v>
      </c>
      <c r="F60" s="11" t="s">
        <v>21</v>
      </c>
      <c r="G60" s="11">
        <v>2</v>
      </c>
      <c r="H60" s="11">
        <v>1800</v>
      </c>
      <c r="I60" s="13">
        <v>0.05</v>
      </c>
      <c r="J60" s="11">
        <v>3420</v>
      </c>
      <c r="K60" s="11">
        <v>2466.52</v>
      </c>
      <c r="L60" s="11">
        <v>953.48</v>
      </c>
      <c r="M60" s="11" t="s">
        <v>1349</v>
      </c>
      <c r="N60" s="11" t="s">
        <v>1349</v>
      </c>
      <c r="O60" s="11" t="s">
        <v>45</v>
      </c>
      <c r="P60" s="11" t="s">
        <v>55</v>
      </c>
      <c r="Q60" s="11" t="s">
        <v>26</v>
      </c>
    </row>
    <row r="61" spans="1:17" x14ac:dyDescent="0.25">
      <c r="A61" s="11" t="s">
        <v>225</v>
      </c>
      <c r="B61" s="12">
        <v>45896</v>
      </c>
      <c r="C61" s="11" t="s">
        <v>125</v>
      </c>
      <c r="D61" s="11" t="s">
        <v>126</v>
      </c>
      <c r="E61" s="11" t="s">
        <v>30</v>
      </c>
      <c r="F61" s="11" t="s">
        <v>31</v>
      </c>
      <c r="G61" s="11">
        <v>3</v>
      </c>
      <c r="H61" s="11">
        <v>1200</v>
      </c>
      <c r="I61" s="11">
        <v>0.2</v>
      </c>
      <c r="J61" s="11">
        <v>2880</v>
      </c>
      <c r="K61" s="11">
        <v>2511.2600000000002</v>
      </c>
      <c r="L61" s="11">
        <v>368.74</v>
      </c>
      <c r="M61" s="11" t="s">
        <v>75</v>
      </c>
      <c r="N61" s="11" t="s">
        <v>76</v>
      </c>
      <c r="O61" s="11" t="s">
        <v>45</v>
      </c>
      <c r="P61" s="11" t="s">
        <v>37</v>
      </c>
      <c r="Q61" s="11" t="s">
        <v>47</v>
      </c>
    </row>
    <row r="62" spans="1:17" x14ac:dyDescent="0.25">
      <c r="A62" s="11" t="s">
        <v>226</v>
      </c>
      <c r="B62" s="12">
        <v>45902</v>
      </c>
      <c r="C62" s="11" t="s">
        <v>227</v>
      </c>
      <c r="D62" s="11" t="s">
        <v>228</v>
      </c>
      <c r="E62" s="11" t="s">
        <v>158</v>
      </c>
      <c r="F62" s="11" t="s">
        <v>21</v>
      </c>
      <c r="G62" s="11">
        <v>5</v>
      </c>
      <c r="H62" s="11">
        <v>55000</v>
      </c>
      <c r="I62" s="11">
        <v>0.15</v>
      </c>
      <c r="J62" s="11">
        <v>233750</v>
      </c>
      <c r="K62" s="11">
        <v>200998.74</v>
      </c>
      <c r="L62" s="11">
        <v>32751.26</v>
      </c>
      <c r="M62" s="11" t="s">
        <v>99</v>
      </c>
      <c r="N62" s="11" t="s">
        <v>71</v>
      </c>
      <c r="O62" s="11" t="s">
        <v>45</v>
      </c>
      <c r="P62" s="11" t="s">
        <v>37</v>
      </c>
      <c r="Q62" s="11" t="s">
        <v>47</v>
      </c>
    </row>
    <row r="63" spans="1:17" x14ac:dyDescent="0.25">
      <c r="A63" s="11" t="s">
        <v>229</v>
      </c>
      <c r="B63" s="12">
        <v>45797</v>
      </c>
      <c r="C63" s="11" t="s">
        <v>230</v>
      </c>
      <c r="D63" s="11" t="s">
        <v>231</v>
      </c>
      <c r="E63" s="11" t="s">
        <v>116</v>
      </c>
      <c r="F63" s="11" t="s">
        <v>94</v>
      </c>
      <c r="G63" s="11">
        <v>4</v>
      </c>
      <c r="H63" s="11">
        <v>1800</v>
      </c>
      <c r="I63" s="11">
        <v>0.05</v>
      </c>
      <c r="J63" s="11">
        <v>6840</v>
      </c>
      <c r="K63" s="11">
        <v>4728.07</v>
      </c>
      <c r="L63" s="11">
        <v>2111.9299999999998</v>
      </c>
      <c r="M63" s="11" t="s">
        <v>75</v>
      </c>
      <c r="N63" s="11" t="s">
        <v>76</v>
      </c>
      <c r="O63" s="11" t="s">
        <v>24</v>
      </c>
      <c r="P63" s="11" t="s">
        <v>37</v>
      </c>
      <c r="Q63" s="11" t="s">
        <v>60</v>
      </c>
    </row>
    <row r="64" spans="1:17" x14ac:dyDescent="0.25">
      <c r="A64" s="11" t="s">
        <v>232</v>
      </c>
      <c r="B64" s="12">
        <v>45976</v>
      </c>
      <c r="C64" s="11" t="s">
        <v>233</v>
      </c>
      <c r="D64" s="11" t="s">
        <v>234</v>
      </c>
      <c r="E64" s="11" t="s">
        <v>93</v>
      </c>
      <c r="F64" s="11" t="s">
        <v>94</v>
      </c>
      <c r="G64" s="11">
        <v>4</v>
      </c>
      <c r="H64" s="11">
        <v>2800</v>
      </c>
      <c r="I64" s="11">
        <v>0.05</v>
      </c>
      <c r="J64" s="11">
        <v>10640</v>
      </c>
      <c r="K64" s="11">
        <v>8295</v>
      </c>
      <c r="L64" s="11">
        <v>2345</v>
      </c>
      <c r="M64" s="11" t="s">
        <v>99</v>
      </c>
      <c r="N64" s="11" t="s">
        <v>71</v>
      </c>
      <c r="O64" s="11" t="s">
        <v>32</v>
      </c>
      <c r="P64" s="11" t="s">
        <v>55</v>
      </c>
      <c r="Q64" s="11" t="s">
        <v>26</v>
      </c>
    </row>
    <row r="65" spans="1:17" x14ac:dyDescent="0.25">
      <c r="A65" s="11" t="s">
        <v>235</v>
      </c>
      <c r="B65" s="12">
        <v>45751</v>
      </c>
      <c r="C65" s="11" t="s">
        <v>236</v>
      </c>
      <c r="D65" s="11" t="s">
        <v>237</v>
      </c>
      <c r="E65" s="11" t="s">
        <v>30</v>
      </c>
      <c r="F65" s="11" t="s">
        <v>31</v>
      </c>
      <c r="G65" s="11">
        <v>2</v>
      </c>
      <c r="H65" s="11">
        <v>1200</v>
      </c>
      <c r="I65" s="13">
        <v>0.15</v>
      </c>
      <c r="J65" s="11">
        <v>2040</v>
      </c>
      <c r="K65" s="11">
        <v>1769.27</v>
      </c>
      <c r="L65" s="11">
        <v>270.73</v>
      </c>
      <c r="M65" s="11" t="s">
        <v>99</v>
      </c>
      <c r="N65" s="11" t="s">
        <v>71</v>
      </c>
      <c r="O65" s="11" t="s">
        <v>32</v>
      </c>
      <c r="P65" s="11" t="s">
        <v>37</v>
      </c>
      <c r="Q65" s="11" t="s">
        <v>26</v>
      </c>
    </row>
    <row r="66" spans="1:17" x14ac:dyDescent="0.25">
      <c r="A66" s="11" t="s">
        <v>238</v>
      </c>
      <c r="B66" s="12">
        <v>45873</v>
      </c>
      <c r="C66" s="11" t="s">
        <v>239</v>
      </c>
      <c r="D66" s="11" t="s">
        <v>240</v>
      </c>
      <c r="E66" s="11" t="s">
        <v>66</v>
      </c>
      <c r="F66" s="11" t="s">
        <v>31</v>
      </c>
      <c r="G66" s="11">
        <v>4</v>
      </c>
      <c r="H66" s="11">
        <v>3500</v>
      </c>
      <c r="I66" s="13">
        <v>0.1</v>
      </c>
      <c r="J66" s="11">
        <v>12600</v>
      </c>
      <c r="K66" s="11">
        <v>9363.74</v>
      </c>
      <c r="L66" s="11">
        <v>3236.26</v>
      </c>
      <c r="M66" s="11" t="s">
        <v>36</v>
      </c>
      <c r="N66" s="11" t="s">
        <v>23</v>
      </c>
      <c r="O66" s="11" t="s">
        <v>32</v>
      </c>
      <c r="P66" s="11" t="s">
        <v>25</v>
      </c>
      <c r="Q66" s="11" t="s">
        <v>26</v>
      </c>
    </row>
    <row r="67" spans="1:17" x14ac:dyDescent="0.25">
      <c r="A67" s="11" t="s">
        <v>241</v>
      </c>
      <c r="B67" s="12">
        <v>45991</v>
      </c>
      <c r="C67" s="11" t="s">
        <v>242</v>
      </c>
      <c r="D67" s="11" t="s">
        <v>243</v>
      </c>
      <c r="E67" s="11" t="s">
        <v>54</v>
      </c>
      <c r="F67" s="11" t="s">
        <v>31</v>
      </c>
      <c r="G67" s="11">
        <v>2</v>
      </c>
      <c r="H67" s="11">
        <v>2800</v>
      </c>
      <c r="I67" s="13">
        <v>0</v>
      </c>
      <c r="J67" s="11">
        <v>5600</v>
      </c>
      <c r="K67" s="11">
        <v>3679.97</v>
      </c>
      <c r="L67" s="11">
        <v>1920.03</v>
      </c>
      <c r="M67" s="11" t="s">
        <v>99</v>
      </c>
      <c r="N67" s="11" t="s">
        <v>71</v>
      </c>
      <c r="O67" s="11" t="s">
        <v>45</v>
      </c>
      <c r="P67" s="11" t="s">
        <v>95</v>
      </c>
      <c r="Q67" s="11" t="s">
        <v>26</v>
      </c>
    </row>
    <row r="68" spans="1:17" x14ac:dyDescent="0.25">
      <c r="A68" s="11" t="s">
        <v>244</v>
      </c>
      <c r="B68" s="12">
        <v>45900</v>
      </c>
      <c r="C68" s="11" t="s">
        <v>245</v>
      </c>
      <c r="D68" s="11" t="s">
        <v>246</v>
      </c>
      <c r="E68" s="11" t="s">
        <v>107</v>
      </c>
      <c r="F68" s="11" t="s">
        <v>108</v>
      </c>
      <c r="G68" s="11">
        <v>2</v>
      </c>
      <c r="H68" s="11">
        <v>1400</v>
      </c>
      <c r="I68" s="11">
        <v>0.05</v>
      </c>
      <c r="J68" s="11">
        <v>2660</v>
      </c>
      <c r="K68" s="11">
        <v>2430.36</v>
      </c>
      <c r="L68" s="11">
        <v>229.64</v>
      </c>
      <c r="M68" s="11" t="s">
        <v>43</v>
      </c>
      <c r="N68" s="11" t="s">
        <v>44</v>
      </c>
      <c r="O68" s="11" t="s">
        <v>24</v>
      </c>
      <c r="P68" s="11" t="s">
        <v>46</v>
      </c>
      <c r="Q68" s="11" t="s">
        <v>26</v>
      </c>
    </row>
    <row r="69" spans="1:17" x14ac:dyDescent="0.25">
      <c r="A69" s="11" t="s">
        <v>247</v>
      </c>
      <c r="B69" s="12">
        <v>45716</v>
      </c>
      <c r="C69" s="11" t="s">
        <v>248</v>
      </c>
      <c r="D69" s="11" t="s">
        <v>249</v>
      </c>
      <c r="E69" s="11" t="s">
        <v>93</v>
      </c>
      <c r="F69" s="11" t="s">
        <v>94</v>
      </c>
      <c r="G69" s="11">
        <v>5</v>
      </c>
      <c r="H69" s="11">
        <v>2800</v>
      </c>
      <c r="I69" s="11">
        <v>0.2</v>
      </c>
      <c r="J69" s="11">
        <v>11200</v>
      </c>
      <c r="K69" s="11">
        <v>10101.549999999999</v>
      </c>
      <c r="L69" s="11">
        <v>1098.45</v>
      </c>
      <c r="M69" s="11" t="s">
        <v>80</v>
      </c>
      <c r="N69" s="11" t="s">
        <v>81</v>
      </c>
      <c r="O69" s="11" t="s">
        <v>45</v>
      </c>
      <c r="P69" s="11" t="s">
        <v>55</v>
      </c>
      <c r="Q69" s="11" t="s">
        <v>26</v>
      </c>
    </row>
    <row r="70" spans="1:17" x14ac:dyDescent="0.25">
      <c r="A70" s="11" t="s">
        <v>250</v>
      </c>
      <c r="B70" s="12">
        <v>45696</v>
      </c>
      <c r="C70" s="11" t="s">
        <v>251</v>
      </c>
      <c r="D70" s="11" t="s">
        <v>252</v>
      </c>
      <c r="E70" s="11" t="s">
        <v>85</v>
      </c>
      <c r="F70" s="11" t="s">
        <v>86</v>
      </c>
      <c r="G70" s="11">
        <v>4</v>
      </c>
      <c r="H70" s="11">
        <v>450</v>
      </c>
      <c r="I70" s="11">
        <v>0.05</v>
      </c>
      <c r="J70" s="11">
        <v>1710</v>
      </c>
      <c r="K70" s="11">
        <v>1458.64</v>
      </c>
      <c r="L70" s="11">
        <v>251.36</v>
      </c>
      <c r="M70" s="11" t="s">
        <v>22</v>
      </c>
      <c r="N70" s="11" t="s">
        <v>23</v>
      </c>
      <c r="O70" s="11" t="s">
        <v>45</v>
      </c>
      <c r="P70" s="11" t="s">
        <v>25</v>
      </c>
      <c r="Q70" s="11" t="s">
        <v>26</v>
      </c>
    </row>
    <row r="71" spans="1:17" x14ac:dyDescent="0.25">
      <c r="A71" s="11" t="s">
        <v>253</v>
      </c>
      <c r="B71" s="12">
        <v>45877</v>
      </c>
      <c r="C71" s="11" t="s">
        <v>254</v>
      </c>
      <c r="D71" s="11" t="s">
        <v>255</v>
      </c>
      <c r="E71" s="11" t="s">
        <v>141</v>
      </c>
      <c r="F71" s="11" t="s">
        <v>21</v>
      </c>
      <c r="G71" s="11">
        <v>3</v>
      </c>
      <c r="H71" s="11">
        <v>22000</v>
      </c>
      <c r="I71" s="11">
        <v>0.2</v>
      </c>
      <c r="J71" s="11">
        <v>52800</v>
      </c>
      <c r="K71" s="11">
        <v>50580.480000000003</v>
      </c>
      <c r="L71" s="11">
        <v>2219.52</v>
      </c>
      <c r="M71" s="11" t="s">
        <v>59</v>
      </c>
      <c r="N71" s="11" t="s">
        <v>59</v>
      </c>
      <c r="O71" s="11" t="s">
        <v>32</v>
      </c>
      <c r="P71" s="11" t="s">
        <v>55</v>
      </c>
      <c r="Q71" s="11" t="s">
        <v>26</v>
      </c>
    </row>
    <row r="72" spans="1:17" x14ac:dyDescent="0.25">
      <c r="A72" s="11" t="s">
        <v>256</v>
      </c>
      <c r="B72" s="12">
        <v>45843</v>
      </c>
      <c r="C72" s="11" t="s">
        <v>257</v>
      </c>
      <c r="D72" s="11" t="s">
        <v>258</v>
      </c>
      <c r="E72" s="11" t="s">
        <v>123</v>
      </c>
      <c r="F72" s="11" t="s">
        <v>21</v>
      </c>
      <c r="G72" s="11">
        <v>1</v>
      </c>
      <c r="H72" s="11">
        <v>2200</v>
      </c>
      <c r="I72" s="13">
        <v>0.15</v>
      </c>
      <c r="J72" s="11">
        <v>1870</v>
      </c>
      <c r="K72" s="11">
        <v>1507.41</v>
      </c>
      <c r="L72" s="11">
        <v>362.59</v>
      </c>
      <c r="M72" s="11" t="s">
        <v>70</v>
      </c>
      <c r="N72" s="11" t="s">
        <v>71</v>
      </c>
      <c r="O72" s="11" t="s">
        <v>24</v>
      </c>
      <c r="P72" s="11" t="s">
        <v>25</v>
      </c>
      <c r="Q72" s="11" t="s">
        <v>60</v>
      </c>
    </row>
    <row r="73" spans="1:17" x14ac:dyDescent="0.25">
      <c r="A73" s="11" t="s">
        <v>259</v>
      </c>
      <c r="B73" s="12">
        <v>45905</v>
      </c>
      <c r="C73" s="11" t="s">
        <v>260</v>
      </c>
      <c r="D73" s="11" t="s">
        <v>261</v>
      </c>
      <c r="E73" s="11" t="s">
        <v>41</v>
      </c>
      <c r="F73" s="11" t="s">
        <v>42</v>
      </c>
      <c r="G73" s="11">
        <v>5</v>
      </c>
      <c r="H73" s="11">
        <v>7500</v>
      </c>
      <c r="I73" s="11">
        <v>0.2</v>
      </c>
      <c r="J73" s="11">
        <v>30000</v>
      </c>
      <c r="K73" s="11">
        <v>31496.959999999999</v>
      </c>
      <c r="L73" s="11">
        <v>-1496.96</v>
      </c>
      <c r="M73" s="11" t="s">
        <v>70</v>
      </c>
      <c r="N73" s="11" t="s">
        <v>71</v>
      </c>
      <c r="O73" s="11" t="s">
        <v>24</v>
      </c>
      <c r="P73" s="11" t="s">
        <v>46</v>
      </c>
      <c r="Q73" s="11" t="s">
        <v>26</v>
      </c>
    </row>
    <row r="74" spans="1:17" x14ac:dyDescent="0.25">
      <c r="A74" s="11" t="s">
        <v>262</v>
      </c>
      <c r="B74" s="12">
        <v>45888</v>
      </c>
      <c r="C74" s="11" t="s">
        <v>263</v>
      </c>
      <c r="D74" s="11" t="s">
        <v>264</v>
      </c>
      <c r="E74" s="11" t="s">
        <v>116</v>
      </c>
      <c r="F74" s="11" t="s">
        <v>94</v>
      </c>
      <c r="G74" s="11">
        <v>1</v>
      </c>
      <c r="H74" s="11">
        <v>1800</v>
      </c>
      <c r="I74" s="11">
        <v>0.1</v>
      </c>
      <c r="J74" s="11">
        <v>1620</v>
      </c>
      <c r="K74" s="11">
        <v>1362.39</v>
      </c>
      <c r="L74" s="11">
        <v>257.61</v>
      </c>
      <c r="M74" s="11" t="s">
        <v>22</v>
      </c>
      <c r="N74" s="11" t="s">
        <v>23</v>
      </c>
      <c r="O74" s="11" t="s">
        <v>45</v>
      </c>
      <c r="P74" s="11" t="s">
        <v>37</v>
      </c>
      <c r="Q74" s="11" t="s">
        <v>26</v>
      </c>
    </row>
    <row r="75" spans="1:17" x14ac:dyDescent="0.25">
      <c r="A75" s="11" t="s">
        <v>265</v>
      </c>
      <c r="B75" s="12">
        <v>45751</v>
      </c>
      <c r="C75" s="11" t="s">
        <v>266</v>
      </c>
      <c r="D75" s="11" t="s">
        <v>267</v>
      </c>
      <c r="E75" s="11" t="s">
        <v>158</v>
      </c>
      <c r="F75" s="11" t="s">
        <v>21</v>
      </c>
      <c r="G75" s="11">
        <v>4</v>
      </c>
      <c r="H75" s="11">
        <v>55000</v>
      </c>
      <c r="I75" s="11">
        <v>0.1</v>
      </c>
      <c r="J75" s="11">
        <v>198000</v>
      </c>
      <c r="K75" s="11">
        <v>160954.14000000001</v>
      </c>
      <c r="L75" s="11">
        <v>37045.86</v>
      </c>
      <c r="M75" s="11" t="s">
        <v>70</v>
      </c>
      <c r="N75" s="11" t="s">
        <v>71</v>
      </c>
      <c r="O75" s="11" t="s">
        <v>45</v>
      </c>
      <c r="P75" s="11" t="s">
        <v>46</v>
      </c>
      <c r="Q75" s="11" t="s">
        <v>26</v>
      </c>
    </row>
    <row r="76" spans="1:17" x14ac:dyDescent="0.25">
      <c r="A76" s="11" t="s">
        <v>268</v>
      </c>
      <c r="B76" s="12">
        <v>45922</v>
      </c>
      <c r="C76" s="11" t="s">
        <v>101</v>
      </c>
      <c r="D76" s="11" t="s">
        <v>102</v>
      </c>
      <c r="E76" s="11" t="s">
        <v>41</v>
      </c>
      <c r="F76" s="11" t="s">
        <v>42</v>
      </c>
      <c r="G76" s="11">
        <v>5</v>
      </c>
      <c r="H76" s="11">
        <v>7500</v>
      </c>
      <c r="I76" s="11">
        <v>0</v>
      </c>
      <c r="J76" s="11">
        <v>37500</v>
      </c>
      <c r="K76" s="11">
        <v>26456.7</v>
      </c>
      <c r="L76" s="11">
        <v>11043.3</v>
      </c>
      <c r="M76" s="11" t="s">
        <v>22</v>
      </c>
      <c r="N76" s="11" t="s">
        <v>23</v>
      </c>
      <c r="O76" s="11" t="s">
        <v>45</v>
      </c>
      <c r="P76" s="11" t="s">
        <v>37</v>
      </c>
      <c r="Q76" s="11" t="s">
        <v>47</v>
      </c>
    </row>
    <row r="77" spans="1:17" x14ac:dyDescent="0.25">
      <c r="A77" s="11" t="s">
        <v>269</v>
      </c>
      <c r="B77" s="12">
        <v>45887</v>
      </c>
      <c r="C77" s="11" t="s">
        <v>39</v>
      </c>
      <c r="D77" s="11" t="s">
        <v>40</v>
      </c>
      <c r="E77" s="11" t="s">
        <v>116</v>
      </c>
      <c r="F77" s="11" t="s">
        <v>94</v>
      </c>
      <c r="G77" s="11">
        <v>4</v>
      </c>
      <c r="H77" s="11">
        <v>1800</v>
      </c>
      <c r="I77" s="11">
        <v>0.15</v>
      </c>
      <c r="J77" s="11">
        <v>6120</v>
      </c>
      <c r="K77" s="11">
        <v>5167.25</v>
      </c>
      <c r="L77" s="11">
        <v>952.75</v>
      </c>
      <c r="M77" s="11" t="s">
        <v>99</v>
      </c>
      <c r="N77" s="11" t="s">
        <v>71</v>
      </c>
      <c r="O77" s="11" t="s">
        <v>24</v>
      </c>
      <c r="P77" s="11" t="s">
        <v>95</v>
      </c>
      <c r="Q77" s="11" t="s">
        <v>26</v>
      </c>
    </row>
    <row r="78" spans="1:17" x14ac:dyDescent="0.25">
      <c r="A78" s="11" t="s">
        <v>270</v>
      </c>
      <c r="B78" s="12">
        <v>45929</v>
      </c>
      <c r="C78" s="11" t="s">
        <v>128</v>
      </c>
      <c r="D78" s="11" t="s">
        <v>129</v>
      </c>
      <c r="E78" s="11" t="s">
        <v>54</v>
      </c>
      <c r="F78" s="11" t="s">
        <v>31</v>
      </c>
      <c r="G78" s="11">
        <v>4</v>
      </c>
      <c r="H78" s="11">
        <v>2800</v>
      </c>
      <c r="I78" s="11">
        <v>0.2</v>
      </c>
      <c r="J78" s="11">
        <v>8960</v>
      </c>
      <c r="K78" s="11">
        <v>9847.32</v>
      </c>
      <c r="L78" s="11">
        <v>-887.32</v>
      </c>
      <c r="M78" s="11" t="s">
        <v>59</v>
      </c>
      <c r="N78" s="11" t="s">
        <v>59</v>
      </c>
      <c r="O78" s="11" t="s">
        <v>45</v>
      </c>
      <c r="P78" s="11" t="s">
        <v>46</v>
      </c>
      <c r="Q78" s="11" t="s">
        <v>26</v>
      </c>
    </row>
    <row r="79" spans="1:17" x14ac:dyDescent="0.25">
      <c r="A79" s="11" t="s">
        <v>271</v>
      </c>
      <c r="B79" s="12">
        <v>45786</v>
      </c>
      <c r="C79" s="11" t="s">
        <v>272</v>
      </c>
      <c r="D79" s="11" t="s">
        <v>273</v>
      </c>
      <c r="E79" s="11" t="s">
        <v>131</v>
      </c>
      <c r="F79" s="11" t="s">
        <v>21</v>
      </c>
      <c r="G79" s="11">
        <v>3</v>
      </c>
      <c r="H79" s="11">
        <v>1600</v>
      </c>
      <c r="I79" s="11">
        <v>0.1</v>
      </c>
      <c r="J79" s="11">
        <v>4320</v>
      </c>
      <c r="K79" s="11">
        <v>3916.3</v>
      </c>
      <c r="L79" s="11">
        <v>403.7</v>
      </c>
      <c r="M79" s="11" t="s">
        <v>22</v>
      </c>
      <c r="N79" s="11" t="s">
        <v>23</v>
      </c>
      <c r="O79" s="11" t="s">
        <v>24</v>
      </c>
      <c r="P79" s="11" t="s">
        <v>55</v>
      </c>
      <c r="Q79" s="11" t="s">
        <v>60</v>
      </c>
    </row>
    <row r="80" spans="1:17" x14ac:dyDescent="0.25">
      <c r="A80" s="11" t="s">
        <v>274</v>
      </c>
      <c r="B80" s="12">
        <v>45905</v>
      </c>
      <c r="C80" s="11" t="s">
        <v>275</v>
      </c>
      <c r="D80" s="11" t="s">
        <v>276</v>
      </c>
      <c r="E80" s="11" t="s">
        <v>93</v>
      </c>
      <c r="F80" s="11" t="s">
        <v>94</v>
      </c>
      <c r="G80" s="11">
        <v>2</v>
      </c>
      <c r="H80" s="11">
        <v>2800</v>
      </c>
      <c r="I80" s="11">
        <v>0.05</v>
      </c>
      <c r="J80" s="11">
        <v>5320</v>
      </c>
      <c r="K80" s="11">
        <v>4399.3900000000003</v>
      </c>
      <c r="L80" s="11">
        <v>920.61</v>
      </c>
      <c r="M80" s="11" t="s">
        <v>36</v>
      </c>
      <c r="N80" s="11" t="s">
        <v>23</v>
      </c>
      <c r="O80" s="11" t="s">
        <v>24</v>
      </c>
      <c r="P80" s="11" t="s">
        <v>25</v>
      </c>
      <c r="Q80" s="11" t="s">
        <v>26</v>
      </c>
    </row>
    <row r="81" spans="1:17" x14ac:dyDescent="0.25">
      <c r="A81" s="11" t="s">
        <v>277</v>
      </c>
      <c r="B81" s="12">
        <v>45774</v>
      </c>
      <c r="C81" s="11" t="s">
        <v>278</v>
      </c>
      <c r="D81" s="11" t="s">
        <v>279</v>
      </c>
      <c r="E81" s="11" t="s">
        <v>20</v>
      </c>
      <c r="F81" s="11" t="s">
        <v>21</v>
      </c>
      <c r="G81" s="11">
        <v>2</v>
      </c>
      <c r="H81" s="11">
        <v>4500</v>
      </c>
      <c r="I81" s="11">
        <v>0.1</v>
      </c>
      <c r="J81" s="11">
        <v>8100</v>
      </c>
      <c r="K81" s="11">
        <v>6475.69</v>
      </c>
      <c r="L81" s="11">
        <v>1624.31</v>
      </c>
      <c r="M81" s="11" t="s">
        <v>59</v>
      </c>
      <c r="N81" s="11" t="s">
        <v>59</v>
      </c>
      <c r="O81" s="11" t="s">
        <v>24</v>
      </c>
      <c r="P81" s="11" t="s">
        <v>25</v>
      </c>
      <c r="Q81" s="11" t="s">
        <v>26</v>
      </c>
    </row>
    <row r="82" spans="1:17" x14ac:dyDescent="0.25">
      <c r="A82" s="11" t="s">
        <v>280</v>
      </c>
      <c r="B82" s="12">
        <v>45941</v>
      </c>
      <c r="C82" s="11" t="s">
        <v>281</v>
      </c>
      <c r="D82" s="11" t="s">
        <v>282</v>
      </c>
      <c r="E82" s="11" t="s">
        <v>41</v>
      </c>
      <c r="F82" s="11" t="s">
        <v>42</v>
      </c>
      <c r="G82" s="11">
        <v>1</v>
      </c>
      <c r="H82" s="11">
        <v>7500</v>
      </c>
      <c r="I82" s="11">
        <v>0</v>
      </c>
      <c r="J82" s="11">
        <v>7500</v>
      </c>
      <c r="K82" s="11">
        <v>6503.55</v>
      </c>
      <c r="L82" s="11">
        <v>996.45</v>
      </c>
      <c r="M82" s="11" t="s">
        <v>36</v>
      </c>
      <c r="N82" s="11" t="s">
        <v>23</v>
      </c>
      <c r="O82" s="11" t="s">
        <v>32</v>
      </c>
      <c r="P82" s="11" t="s">
        <v>37</v>
      </c>
      <c r="Q82" s="11" t="s">
        <v>26</v>
      </c>
    </row>
    <row r="83" spans="1:17" x14ac:dyDescent="0.25">
      <c r="A83" s="11" t="s">
        <v>283</v>
      </c>
      <c r="B83" s="12">
        <v>45898</v>
      </c>
      <c r="C83" s="11" t="s">
        <v>110</v>
      </c>
      <c r="D83" s="11" t="s">
        <v>111</v>
      </c>
      <c r="E83" s="11" t="s">
        <v>158</v>
      </c>
      <c r="F83" s="11" t="s">
        <v>21</v>
      </c>
      <c r="G83" s="11">
        <v>5</v>
      </c>
      <c r="H83" s="11">
        <v>55000</v>
      </c>
      <c r="I83" s="13">
        <v>0.1</v>
      </c>
      <c r="J83" s="11">
        <v>247500</v>
      </c>
      <c r="K83" s="11">
        <v>200299.65</v>
      </c>
      <c r="L83" s="11">
        <v>47200.35</v>
      </c>
      <c r="M83" s="11" t="s">
        <v>70</v>
      </c>
      <c r="N83" s="11" t="s">
        <v>71</v>
      </c>
      <c r="O83" s="11" t="s">
        <v>32</v>
      </c>
      <c r="P83" s="11" t="s">
        <v>46</v>
      </c>
      <c r="Q83" s="11" t="s">
        <v>26</v>
      </c>
    </row>
    <row r="84" spans="1:17" x14ac:dyDescent="0.25">
      <c r="A84" s="11" t="s">
        <v>284</v>
      </c>
      <c r="B84" s="12">
        <v>45909</v>
      </c>
      <c r="C84" s="11" t="s">
        <v>285</v>
      </c>
      <c r="D84" s="11" t="s">
        <v>286</v>
      </c>
      <c r="E84" s="11" t="s">
        <v>20</v>
      </c>
      <c r="F84" s="11" t="s">
        <v>21</v>
      </c>
      <c r="G84" s="11">
        <v>1</v>
      </c>
      <c r="H84" s="11">
        <v>4500</v>
      </c>
      <c r="I84" s="13">
        <v>0.15</v>
      </c>
      <c r="J84" s="11">
        <v>3825</v>
      </c>
      <c r="K84" s="11">
        <v>3576.48</v>
      </c>
      <c r="L84" s="11">
        <v>248.52</v>
      </c>
      <c r="M84" s="11" t="s">
        <v>43</v>
      </c>
      <c r="N84" s="11" t="s">
        <v>44</v>
      </c>
      <c r="O84" s="11" t="s">
        <v>24</v>
      </c>
      <c r="P84" s="11" t="s">
        <v>95</v>
      </c>
      <c r="Q84" s="11" t="s">
        <v>26</v>
      </c>
    </row>
    <row r="85" spans="1:17" x14ac:dyDescent="0.25">
      <c r="A85" s="11" t="s">
        <v>287</v>
      </c>
      <c r="B85" s="12">
        <v>45718</v>
      </c>
      <c r="C85" s="11" t="s">
        <v>288</v>
      </c>
      <c r="D85" s="11" t="s">
        <v>289</v>
      </c>
      <c r="E85" s="11" t="s">
        <v>103</v>
      </c>
      <c r="F85" s="11" t="s">
        <v>42</v>
      </c>
      <c r="G85" s="11">
        <v>1</v>
      </c>
      <c r="H85" s="11">
        <v>6000</v>
      </c>
      <c r="I85" s="11">
        <v>0.05</v>
      </c>
      <c r="J85" s="11">
        <v>5700</v>
      </c>
      <c r="K85" s="11">
        <v>4722.66</v>
      </c>
      <c r="L85" s="11">
        <v>977.34</v>
      </c>
      <c r="M85" s="11" t="s">
        <v>75</v>
      </c>
      <c r="N85" s="11" t="s">
        <v>76</v>
      </c>
      <c r="O85" s="11" t="s">
        <v>32</v>
      </c>
      <c r="P85" s="11" t="s">
        <v>95</v>
      </c>
      <c r="Q85" s="11" t="s">
        <v>47</v>
      </c>
    </row>
    <row r="86" spans="1:17" x14ac:dyDescent="0.25">
      <c r="A86" s="11" t="s">
        <v>290</v>
      </c>
      <c r="B86" s="12">
        <v>45810</v>
      </c>
      <c r="C86" s="11" t="s">
        <v>291</v>
      </c>
      <c r="D86" s="11" t="s">
        <v>292</v>
      </c>
      <c r="E86" s="11" t="s">
        <v>85</v>
      </c>
      <c r="F86" s="11" t="s">
        <v>86</v>
      </c>
      <c r="G86" s="11">
        <v>4</v>
      </c>
      <c r="H86" s="11">
        <v>450</v>
      </c>
      <c r="I86" s="13">
        <v>0.15</v>
      </c>
      <c r="J86" s="11">
        <v>1530</v>
      </c>
      <c r="K86" s="11">
        <v>1405.41</v>
      </c>
      <c r="L86" s="11">
        <v>124.59</v>
      </c>
      <c r="M86" s="11" t="s">
        <v>75</v>
      </c>
      <c r="N86" s="11" t="s">
        <v>76</v>
      </c>
      <c r="O86" s="11" t="s">
        <v>24</v>
      </c>
      <c r="P86" s="11" t="s">
        <v>25</v>
      </c>
      <c r="Q86" s="11" t="s">
        <v>60</v>
      </c>
    </row>
    <row r="87" spans="1:17" x14ac:dyDescent="0.25">
      <c r="A87" s="11" t="s">
        <v>293</v>
      </c>
      <c r="B87" s="12">
        <v>45793</v>
      </c>
      <c r="C87" s="11" t="s">
        <v>88</v>
      </c>
      <c r="D87" s="11" t="s">
        <v>89</v>
      </c>
      <c r="E87" s="11" t="s">
        <v>20</v>
      </c>
      <c r="F87" s="11" t="s">
        <v>21</v>
      </c>
      <c r="G87" s="11">
        <v>2</v>
      </c>
      <c r="H87" s="11">
        <v>4500</v>
      </c>
      <c r="I87" s="11">
        <v>0.05</v>
      </c>
      <c r="J87" s="11">
        <v>8550</v>
      </c>
      <c r="K87" s="11">
        <v>6346.52</v>
      </c>
      <c r="L87" s="11">
        <v>2203.48</v>
      </c>
      <c r="M87" s="11" t="s">
        <v>43</v>
      </c>
      <c r="N87" s="11" t="s">
        <v>44</v>
      </c>
      <c r="O87" s="11" t="s">
        <v>45</v>
      </c>
      <c r="P87" s="11" t="s">
        <v>55</v>
      </c>
      <c r="Q87" s="11" t="s">
        <v>26</v>
      </c>
    </row>
    <row r="88" spans="1:17" x14ac:dyDescent="0.25">
      <c r="A88" s="11" t="s">
        <v>294</v>
      </c>
      <c r="B88" s="12">
        <v>46010</v>
      </c>
      <c r="C88" s="11" t="s">
        <v>295</v>
      </c>
      <c r="D88" s="11" t="s">
        <v>296</v>
      </c>
      <c r="E88" s="11" t="s">
        <v>158</v>
      </c>
      <c r="F88" s="11" t="s">
        <v>21</v>
      </c>
      <c r="G88" s="11">
        <v>4</v>
      </c>
      <c r="H88" s="11">
        <v>55000</v>
      </c>
      <c r="I88" s="11">
        <v>0.15</v>
      </c>
      <c r="J88" s="11">
        <v>187000</v>
      </c>
      <c r="K88" s="11">
        <v>144651.57999999999</v>
      </c>
      <c r="L88" s="11">
        <v>42348.42</v>
      </c>
      <c r="M88" s="11" t="s">
        <v>70</v>
      </c>
      <c r="N88" s="11" t="s">
        <v>71</v>
      </c>
      <c r="O88" s="11" t="s">
        <v>32</v>
      </c>
      <c r="P88" s="11" t="s">
        <v>46</v>
      </c>
      <c r="Q88" s="11" t="s">
        <v>60</v>
      </c>
    </row>
    <row r="89" spans="1:17" x14ac:dyDescent="0.25">
      <c r="A89" s="11" t="s">
        <v>297</v>
      </c>
      <c r="B89" s="12">
        <v>45793</v>
      </c>
      <c r="C89" s="11" t="s">
        <v>128</v>
      </c>
      <c r="D89" s="11" t="s">
        <v>129</v>
      </c>
      <c r="E89" s="11" t="s">
        <v>131</v>
      </c>
      <c r="F89" s="11" t="s">
        <v>21</v>
      </c>
      <c r="G89" s="11">
        <v>1</v>
      </c>
      <c r="H89" s="11">
        <v>1600</v>
      </c>
      <c r="I89" s="13">
        <v>0.05</v>
      </c>
      <c r="J89" s="11">
        <v>1520</v>
      </c>
      <c r="K89" s="11">
        <v>1082.24</v>
      </c>
      <c r="L89" s="11">
        <v>437.76</v>
      </c>
      <c r="M89" s="11" t="s">
        <v>22</v>
      </c>
      <c r="N89" s="11" t="s">
        <v>23</v>
      </c>
      <c r="O89" s="11" t="s">
        <v>24</v>
      </c>
      <c r="P89" s="11" t="s">
        <v>95</v>
      </c>
      <c r="Q89" s="11" t="s">
        <v>26</v>
      </c>
    </row>
    <row r="90" spans="1:17" x14ac:dyDescent="0.25">
      <c r="A90" s="11" t="s">
        <v>298</v>
      </c>
      <c r="B90" s="12">
        <v>45742</v>
      </c>
      <c r="C90" s="11" t="s">
        <v>299</v>
      </c>
      <c r="D90" s="11" t="s">
        <v>300</v>
      </c>
      <c r="E90" s="11" t="s">
        <v>107</v>
      </c>
      <c r="F90" s="11" t="s">
        <v>108</v>
      </c>
      <c r="G90" s="11">
        <v>1</v>
      </c>
      <c r="H90" s="11">
        <v>1400</v>
      </c>
      <c r="I90" s="11">
        <v>0</v>
      </c>
      <c r="J90" s="11">
        <v>1400</v>
      </c>
      <c r="K90" s="11">
        <v>1151.1600000000001</v>
      </c>
      <c r="L90" s="11">
        <v>248.84</v>
      </c>
      <c r="M90" s="11" t="s">
        <v>36</v>
      </c>
      <c r="N90" s="11" t="s">
        <v>23</v>
      </c>
      <c r="O90" s="11" t="s">
        <v>24</v>
      </c>
      <c r="P90" s="11" t="s">
        <v>46</v>
      </c>
      <c r="Q90" s="11" t="s">
        <v>26</v>
      </c>
    </row>
    <row r="91" spans="1:17" x14ac:dyDescent="0.25">
      <c r="A91" s="11" t="s">
        <v>301</v>
      </c>
      <c r="B91" s="12">
        <v>46016</v>
      </c>
      <c r="C91" s="11" t="s">
        <v>227</v>
      </c>
      <c r="D91" s="11" t="s">
        <v>228</v>
      </c>
      <c r="E91" s="11" t="s">
        <v>20</v>
      </c>
      <c r="F91" s="11" t="s">
        <v>21</v>
      </c>
      <c r="G91" s="11">
        <v>4</v>
      </c>
      <c r="H91" s="11">
        <v>4500</v>
      </c>
      <c r="I91" s="11">
        <v>0.1</v>
      </c>
      <c r="J91" s="11">
        <v>16200</v>
      </c>
      <c r="K91" s="11">
        <v>12827.1</v>
      </c>
      <c r="L91" s="11">
        <v>3372.9</v>
      </c>
      <c r="M91" s="11" t="s">
        <v>75</v>
      </c>
      <c r="N91" s="11" t="s">
        <v>76</v>
      </c>
      <c r="O91" s="11" t="s">
        <v>32</v>
      </c>
      <c r="P91" s="11" t="s">
        <v>37</v>
      </c>
      <c r="Q91" s="11" t="s">
        <v>26</v>
      </c>
    </row>
    <row r="92" spans="1:17" x14ac:dyDescent="0.25">
      <c r="A92" s="11" t="s">
        <v>302</v>
      </c>
      <c r="B92" s="12">
        <v>45879</v>
      </c>
      <c r="C92" s="11" t="s">
        <v>303</v>
      </c>
      <c r="D92" s="11" t="s">
        <v>304</v>
      </c>
      <c r="E92" s="11" t="s">
        <v>62</v>
      </c>
      <c r="F92" s="11" t="s">
        <v>21</v>
      </c>
      <c r="G92" s="11">
        <v>5</v>
      </c>
      <c r="H92" s="11">
        <v>1800</v>
      </c>
      <c r="I92" s="13">
        <v>0</v>
      </c>
      <c r="J92" s="11">
        <v>9000</v>
      </c>
      <c r="K92" s="11">
        <v>6368.26</v>
      </c>
      <c r="L92" s="11">
        <v>2631.74</v>
      </c>
      <c r="M92" s="11" t="s">
        <v>59</v>
      </c>
      <c r="N92" s="11" t="s">
        <v>59</v>
      </c>
      <c r="O92" s="11" t="s">
        <v>45</v>
      </c>
      <c r="P92" s="11" t="s">
        <v>95</v>
      </c>
      <c r="Q92" s="11" t="s">
        <v>60</v>
      </c>
    </row>
    <row r="93" spans="1:17" x14ac:dyDescent="0.25">
      <c r="A93" s="11" t="s">
        <v>305</v>
      </c>
      <c r="B93" s="12">
        <v>45678</v>
      </c>
      <c r="C93" s="11" t="s">
        <v>306</v>
      </c>
      <c r="D93" s="11" t="s">
        <v>307</v>
      </c>
      <c r="E93" s="11" t="s">
        <v>158</v>
      </c>
      <c r="F93" s="11" t="s">
        <v>21</v>
      </c>
      <c r="G93" s="11">
        <v>3</v>
      </c>
      <c r="H93" s="11">
        <v>55000</v>
      </c>
      <c r="I93" s="11">
        <v>0.2</v>
      </c>
      <c r="J93" s="11">
        <v>132000</v>
      </c>
      <c r="K93" s="11">
        <v>126944.68</v>
      </c>
      <c r="L93" s="11">
        <v>5055.32</v>
      </c>
      <c r="M93" s="11" t="s">
        <v>80</v>
      </c>
      <c r="N93" s="11" t="s">
        <v>81</v>
      </c>
      <c r="O93" s="11" t="s">
        <v>24</v>
      </c>
      <c r="P93" s="11" t="s">
        <v>46</v>
      </c>
      <c r="Q93" s="11" t="s">
        <v>26</v>
      </c>
    </row>
    <row r="94" spans="1:17" x14ac:dyDescent="0.25">
      <c r="A94" s="11" t="s">
        <v>308</v>
      </c>
      <c r="B94" s="12">
        <v>45898</v>
      </c>
      <c r="C94" s="11" t="s">
        <v>309</v>
      </c>
      <c r="D94" s="11" t="s">
        <v>310</v>
      </c>
      <c r="E94" s="11" t="s">
        <v>30</v>
      </c>
      <c r="F94" s="11" t="s">
        <v>31</v>
      </c>
      <c r="G94" s="11">
        <v>4</v>
      </c>
      <c r="H94" s="11">
        <v>1200</v>
      </c>
      <c r="I94" s="11">
        <v>0</v>
      </c>
      <c r="J94" s="11">
        <v>4800</v>
      </c>
      <c r="K94" s="11">
        <v>3487.97</v>
      </c>
      <c r="L94" s="11">
        <v>1312.03</v>
      </c>
      <c r="M94" s="11" t="s">
        <v>59</v>
      </c>
      <c r="N94" s="11" t="s">
        <v>59</v>
      </c>
      <c r="O94" s="11" t="s">
        <v>32</v>
      </c>
      <c r="P94" s="11" t="s">
        <v>55</v>
      </c>
      <c r="Q94" s="11" t="s">
        <v>26</v>
      </c>
    </row>
    <row r="95" spans="1:17" x14ac:dyDescent="0.25">
      <c r="A95" s="11" t="s">
        <v>311</v>
      </c>
      <c r="B95" s="12">
        <v>45805</v>
      </c>
      <c r="C95" s="11" t="s">
        <v>312</v>
      </c>
      <c r="D95" s="11" t="s">
        <v>313</v>
      </c>
      <c r="E95" s="11" t="s">
        <v>66</v>
      </c>
      <c r="F95" s="11" t="s">
        <v>31</v>
      </c>
      <c r="G95" s="11">
        <v>4</v>
      </c>
      <c r="H95" s="11">
        <v>3500</v>
      </c>
      <c r="I95" s="13">
        <v>0.15</v>
      </c>
      <c r="J95" s="11">
        <v>11900</v>
      </c>
      <c r="K95" s="11">
        <v>11548.81</v>
      </c>
      <c r="L95" s="11">
        <v>351.19</v>
      </c>
      <c r="M95" s="11" t="s">
        <v>75</v>
      </c>
      <c r="N95" s="11" t="s">
        <v>76</v>
      </c>
      <c r="O95" s="11" t="s">
        <v>32</v>
      </c>
      <c r="P95" s="11" t="s">
        <v>37</v>
      </c>
      <c r="Q95" s="11" t="s">
        <v>26</v>
      </c>
    </row>
    <row r="96" spans="1:17" x14ac:dyDescent="0.25">
      <c r="A96" s="11" t="s">
        <v>314</v>
      </c>
      <c r="B96" s="12">
        <v>45717</v>
      </c>
      <c r="C96" s="11" t="s">
        <v>315</v>
      </c>
      <c r="D96" s="11" t="s">
        <v>316</v>
      </c>
      <c r="E96" s="11" t="s">
        <v>66</v>
      </c>
      <c r="F96" s="11" t="s">
        <v>31</v>
      </c>
      <c r="G96" s="11">
        <v>3</v>
      </c>
      <c r="H96" s="11">
        <v>3500</v>
      </c>
      <c r="I96" s="13">
        <v>0.1</v>
      </c>
      <c r="J96" s="11">
        <v>9450</v>
      </c>
      <c r="K96" s="11">
        <v>8067.75</v>
      </c>
      <c r="L96" s="11">
        <v>1382.25</v>
      </c>
      <c r="M96" s="11" t="s">
        <v>75</v>
      </c>
      <c r="N96" s="11" t="s">
        <v>76</v>
      </c>
      <c r="O96" s="11" t="s">
        <v>24</v>
      </c>
      <c r="P96" s="11" t="s">
        <v>25</v>
      </c>
      <c r="Q96" s="11" t="s">
        <v>26</v>
      </c>
    </row>
    <row r="97" spans="1:17" x14ac:dyDescent="0.25">
      <c r="A97" s="11" t="s">
        <v>317</v>
      </c>
      <c r="B97" s="12">
        <v>45923</v>
      </c>
      <c r="C97" s="11" t="s">
        <v>318</v>
      </c>
      <c r="D97" s="11" t="s">
        <v>319</v>
      </c>
      <c r="E97" s="11" t="s">
        <v>30</v>
      </c>
      <c r="F97" s="11" t="s">
        <v>31</v>
      </c>
      <c r="G97" s="11">
        <v>1</v>
      </c>
      <c r="H97" s="11">
        <v>1200</v>
      </c>
      <c r="I97" s="11">
        <v>0.05</v>
      </c>
      <c r="J97" s="11">
        <v>1140</v>
      </c>
      <c r="K97" s="11">
        <v>988.78</v>
      </c>
      <c r="L97" s="11">
        <v>151.22</v>
      </c>
      <c r="M97" s="11" t="s">
        <v>59</v>
      </c>
      <c r="N97" s="11" t="s">
        <v>59</v>
      </c>
      <c r="O97" s="11" t="s">
        <v>45</v>
      </c>
      <c r="P97" s="11" t="s">
        <v>37</v>
      </c>
      <c r="Q97" s="11" t="s">
        <v>26</v>
      </c>
    </row>
    <row r="98" spans="1:17" x14ac:dyDescent="0.25">
      <c r="A98" s="11" t="s">
        <v>320</v>
      </c>
      <c r="B98" s="12">
        <v>45725</v>
      </c>
      <c r="C98" s="11" t="s">
        <v>110</v>
      </c>
      <c r="D98" s="11" t="s">
        <v>111</v>
      </c>
      <c r="E98" s="11" t="s">
        <v>112</v>
      </c>
      <c r="F98" s="11" t="s">
        <v>94</v>
      </c>
      <c r="G98" s="11">
        <v>3</v>
      </c>
      <c r="H98" s="11">
        <v>800</v>
      </c>
      <c r="I98" s="11">
        <v>0.2</v>
      </c>
      <c r="J98" s="11">
        <v>1920</v>
      </c>
      <c r="K98" s="11">
        <v>2046.23</v>
      </c>
      <c r="L98" s="11">
        <v>-126.23</v>
      </c>
      <c r="M98" s="11" t="s">
        <v>36</v>
      </c>
      <c r="N98" s="11" t="s">
        <v>23</v>
      </c>
      <c r="O98" s="11" t="s">
        <v>32</v>
      </c>
      <c r="P98" s="11" t="s">
        <v>55</v>
      </c>
      <c r="Q98" s="11" t="s">
        <v>26</v>
      </c>
    </row>
    <row r="99" spans="1:17" x14ac:dyDescent="0.25">
      <c r="A99" s="11" t="s">
        <v>321</v>
      </c>
      <c r="B99" s="12">
        <v>45940</v>
      </c>
      <c r="C99" s="11" t="s">
        <v>322</v>
      </c>
      <c r="D99" s="11" t="s">
        <v>323</v>
      </c>
      <c r="E99" s="11" t="s">
        <v>116</v>
      </c>
      <c r="F99" s="11" t="s">
        <v>94</v>
      </c>
      <c r="G99" s="11">
        <v>2</v>
      </c>
      <c r="H99" s="11">
        <v>1800</v>
      </c>
      <c r="I99" s="13">
        <v>0.1</v>
      </c>
      <c r="J99" s="11">
        <v>3240</v>
      </c>
      <c r="K99" s="11">
        <v>2677.82</v>
      </c>
      <c r="L99" s="11">
        <v>562.17999999999995</v>
      </c>
      <c r="M99" s="11" t="s">
        <v>99</v>
      </c>
      <c r="N99" s="11" t="s">
        <v>71</v>
      </c>
      <c r="O99" s="11" t="s">
        <v>45</v>
      </c>
      <c r="P99" s="11" t="s">
        <v>55</v>
      </c>
      <c r="Q99" s="11" t="s">
        <v>26</v>
      </c>
    </row>
    <row r="100" spans="1:17" x14ac:dyDescent="0.25">
      <c r="A100" s="11" t="s">
        <v>324</v>
      </c>
      <c r="B100" s="12">
        <v>45807</v>
      </c>
      <c r="C100" s="11" t="s">
        <v>325</v>
      </c>
      <c r="D100" s="11" t="s">
        <v>326</v>
      </c>
      <c r="E100" s="11" t="s">
        <v>20</v>
      </c>
      <c r="F100" s="11" t="s">
        <v>21</v>
      </c>
      <c r="G100" s="11">
        <v>2</v>
      </c>
      <c r="H100" s="11">
        <v>4500</v>
      </c>
      <c r="I100" s="11">
        <v>0.15</v>
      </c>
      <c r="J100" s="11">
        <v>7650</v>
      </c>
      <c r="K100" s="11">
        <v>7577.88</v>
      </c>
      <c r="L100" s="11">
        <v>72.12</v>
      </c>
      <c r="M100" s="11" t="s">
        <v>36</v>
      </c>
      <c r="N100" s="11" t="s">
        <v>23</v>
      </c>
      <c r="O100" s="11" t="s">
        <v>45</v>
      </c>
      <c r="P100" s="11" t="s">
        <v>95</v>
      </c>
      <c r="Q100" s="11" t="s">
        <v>26</v>
      </c>
    </row>
    <row r="101" spans="1:17" x14ac:dyDescent="0.25">
      <c r="A101" s="11" t="s">
        <v>327</v>
      </c>
      <c r="B101" s="12">
        <v>45964</v>
      </c>
      <c r="C101" s="11" t="s">
        <v>315</v>
      </c>
      <c r="D101" s="11" t="s">
        <v>316</v>
      </c>
      <c r="E101" s="11" t="s">
        <v>107</v>
      </c>
      <c r="F101" s="11" t="s">
        <v>108</v>
      </c>
      <c r="G101" s="11">
        <v>4</v>
      </c>
      <c r="H101" s="11">
        <v>1400</v>
      </c>
      <c r="I101" s="11">
        <v>0.05</v>
      </c>
      <c r="J101" s="11">
        <v>5320</v>
      </c>
      <c r="K101" s="11">
        <v>3729.92</v>
      </c>
      <c r="L101" s="11">
        <v>1590.08</v>
      </c>
      <c r="M101" s="11" t="s">
        <v>80</v>
      </c>
      <c r="N101" s="11" t="s">
        <v>81</v>
      </c>
      <c r="O101" s="11" t="s">
        <v>24</v>
      </c>
      <c r="P101" s="11" t="s">
        <v>46</v>
      </c>
      <c r="Q101" s="11" t="s">
        <v>47</v>
      </c>
    </row>
    <row r="102" spans="1:17" x14ac:dyDescent="0.25">
      <c r="A102" s="11" t="s">
        <v>328</v>
      </c>
      <c r="B102" s="12">
        <v>45810</v>
      </c>
      <c r="C102" s="11" t="s">
        <v>315</v>
      </c>
      <c r="D102" s="11" t="s">
        <v>316</v>
      </c>
      <c r="E102" s="11" t="s">
        <v>41</v>
      </c>
      <c r="F102" s="11" t="s">
        <v>42</v>
      </c>
      <c r="G102" s="11">
        <v>1</v>
      </c>
      <c r="H102" s="11">
        <v>7500</v>
      </c>
      <c r="I102" s="11">
        <v>0.1</v>
      </c>
      <c r="J102" s="11">
        <v>6750</v>
      </c>
      <c r="K102" s="11">
        <v>5131.33</v>
      </c>
      <c r="L102" s="11">
        <v>1618.67</v>
      </c>
      <c r="M102" s="11" t="s">
        <v>70</v>
      </c>
      <c r="N102" s="11" t="s">
        <v>71</v>
      </c>
      <c r="O102" s="11" t="s">
        <v>32</v>
      </c>
      <c r="P102" s="11" t="s">
        <v>37</v>
      </c>
      <c r="Q102" s="11" t="s">
        <v>26</v>
      </c>
    </row>
    <row r="103" spans="1:17" x14ac:dyDescent="0.25">
      <c r="A103" s="11" t="s">
        <v>329</v>
      </c>
      <c r="B103" s="12">
        <v>45851</v>
      </c>
      <c r="C103" s="11" t="s">
        <v>330</v>
      </c>
      <c r="D103" s="11" t="s">
        <v>331</v>
      </c>
      <c r="E103" s="11" t="s">
        <v>66</v>
      </c>
      <c r="F103" s="11" t="s">
        <v>31</v>
      </c>
      <c r="G103" s="11">
        <v>5</v>
      </c>
      <c r="H103" s="11">
        <v>3500</v>
      </c>
      <c r="I103" s="13">
        <v>0.2</v>
      </c>
      <c r="J103" s="11">
        <v>14000</v>
      </c>
      <c r="K103" s="11">
        <v>12670.15</v>
      </c>
      <c r="L103" s="11">
        <v>1329.85</v>
      </c>
      <c r="M103" s="11" t="s">
        <v>70</v>
      </c>
      <c r="N103" s="11" t="s">
        <v>71</v>
      </c>
      <c r="O103" s="11" t="s">
        <v>45</v>
      </c>
      <c r="P103" s="11" t="s">
        <v>95</v>
      </c>
      <c r="Q103" s="11" t="s">
        <v>47</v>
      </c>
    </row>
    <row r="104" spans="1:17" x14ac:dyDescent="0.25">
      <c r="A104" s="11" t="s">
        <v>332</v>
      </c>
      <c r="B104" s="12">
        <v>45680</v>
      </c>
      <c r="C104" s="11" t="s">
        <v>333</v>
      </c>
      <c r="D104" s="11" t="s">
        <v>334</v>
      </c>
      <c r="E104" s="11" t="s">
        <v>85</v>
      </c>
      <c r="F104" s="11" t="s">
        <v>86</v>
      </c>
      <c r="G104" s="11">
        <v>2</v>
      </c>
      <c r="H104" s="11">
        <v>450</v>
      </c>
      <c r="I104" s="11">
        <v>0.15</v>
      </c>
      <c r="J104" s="11">
        <v>765</v>
      </c>
      <c r="K104" s="11">
        <v>682.91</v>
      </c>
      <c r="L104" s="11">
        <v>82.09</v>
      </c>
      <c r="M104" s="11" t="s">
        <v>59</v>
      </c>
      <c r="N104" s="11" t="s">
        <v>59</v>
      </c>
      <c r="O104" s="11" t="s">
        <v>45</v>
      </c>
      <c r="P104" s="11" t="s">
        <v>37</v>
      </c>
      <c r="Q104" s="11" t="s">
        <v>60</v>
      </c>
    </row>
    <row r="105" spans="1:17" x14ac:dyDescent="0.25">
      <c r="A105" s="11" t="s">
        <v>335</v>
      </c>
      <c r="B105" s="12">
        <v>45722</v>
      </c>
      <c r="C105" s="11" t="s">
        <v>336</v>
      </c>
      <c r="D105" s="11" t="s">
        <v>337</v>
      </c>
      <c r="E105" s="11" t="s">
        <v>107</v>
      </c>
      <c r="F105" s="11" t="s">
        <v>108</v>
      </c>
      <c r="G105" s="11">
        <v>4</v>
      </c>
      <c r="H105" s="11">
        <v>1400</v>
      </c>
      <c r="I105" s="11">
        <v>0</v>
      </c>
      <c r="J105" s="11">
        <v>5600</v>
      </c>
      <c r="K105" s="11">
        <v>3769.27</v>
      </c>
      <c r="L105" s="11">
        <v>1830.73</v>
      </c>
      <c r="M105" s="11" t="s">
        <v>59</v>
      </c>
      <c r="N105" s="11" t="s">
        <v>59</v>
      </c>
      <c r="O105" s="11" t="s">
        <v>45</v>
      </c>
      <c r="P105" s="11" t="s">
        <v>55</v>
      </c>
      <c r="Q105" s="11" t="s">
        <v>47</v>
      </c>
    </row>
    <row r="106" spans="1:17" x14ac:dyDescent="0.25">
      <c r="A106" s="11" t="s">
        <v>338</v>
      </c>
      <c r="B106" s="12">
        <v>45867</v>
      </c>
      <c r="C106" s="11" t="s">
        <v>339</v>
      </c>
      <c r="D106" s="11" t="s">
        <v>340</v>
      </c>
      <c r="E106" s="11" t="s">
        <v>131</v>
      </c>
      <c r="F106" s="11" t="s">
        <v>21</v>
      </c>
      <c r="G106" s="11">
        <v>1</v>
      </c>
      <c r="H106" s="11">
        <v>1600</v>
      </c>
      <c r="I106" s="11">
        <v>0.05</v>
      </c>
      <c r="J106" s="11">
        <v>1520</v>
      </c>
      <c r="K106" s="11">
        <v>1212.77</v>
      </c>
      <c r="L106" s="11">
        <v>307.23</v>
      </c>
      <c r="M106" s="11" t="s">
        <v>80</v>
      </c>
      <c r="N106" s="11" t="s">
        <v>81</v>
      </c>
      <c r="O106" s="11" t="s">
        <v>24</v>
      </c>
      <c r="P106" s="11" t="s">
        <v>46</v>
      </c>
      <c r="Q106" s="11" t="s">
        <v>47</v>
      </c>
    </row>
    <row r="107" spans="1:17" x14ac:dyDescent="0.25">
      <c r="A107" s="11" t="s">
        <v>341</v>
      </c>
      <c r="B107" s="12">
        <v>46003</v>
      </c>
      <c r="C107" s="11" t="s">
        <v>342</v>
      </c>
      <c r="D107" s="11" t="s">
        <v>343</v>
      </c>
      <c r="E107" s="11" t="s">
        <v>85</v>
      </c>
      <c r="F107" s="11" t="s">
        <v>86</v>
      </c>
      <c r="G107" s="11">
        <v>1</v>
      </c>
      <c r="H107" s="11">
        <v>450</v>
      </c>
      <c r="I107" s="11">
        <v>0.1</v>
      </c>
      <c r="J107" s="11">
        <v>405</v>
      </c>
      <c r="K107" s="11">
        <v>325.27</v>
      </c>
      <c r="L107" s="11">
        <v>79.73</v>
      </c>
      <c r="M107" s="11" t="s">
        <v>75</v>
      </c>
      <c r="N107" s="11" t="s">
        <v>76</v>
      </c>
      <c r="O107" s="11" t="s">
        <v>45</v>
      </c>
      <c r="P107" s="11" t="s">
        <v>37</v>
      </c>
      <c r="Q107" s="11" t="s">
        <v>47</v>
      </c>
    </row>
    <row r="108" spans="1:17" x14ac:dyDescent="0.25">
      <c r="A108" s="11" t="s">
        <v>344</v>
      </c>
      <c r="B108" s="12">
        <v>45778</v>
      </c>
      <c r="C108" s="11" t="s">
        <v>345</v>
      </c>
      <c r="D108" s="11" t="s">
        <v>346</v>
      </c>
      <c r="E108" s="11" t="s">
        <v>141</v>
      </c>
      <c r="F108" s="11" t="s">
        <v>347</v>
      </c>
      <c r="G108" s="11">
        <v>5</v>
      </c>
      <c r="H108" s="11">
        <v>22000</v>
      </c>
      <c r="I108" s="11">
        <v>0</v>
      </c>
      <c r="J108" s="11">
        <v>110000</v>
      </c>
      <c r="K108" s="11">
        <v>90393.19</v>
      </c>
      <c r="L108" s="11">
        <v>19606.810000000001</v>
      </c>
      <c r="M108" s="11" t="s">
        <v>36</v>
      </c>
      <c r="N108" s="11" t="s">
        <v>23</v>
      </c>
      <c r="O108" s="11" t="s">
        <v>45</v>
      </c>
      <c r="P108" s="11" t="s">
        <v>55</v>
      </c>
      <c r="Q108" s="11" t="s">
        <v>60</v>
      </c>
    </row>
    <row r="109" spans="1:17" x14ac:dyDescent="0.25">
      <c r="A109" s="11" t="s">
        <v>348</v>
      </c>
      <c r="B109" s="12">
        <v>46013</v>
      </c>
      <c r="C109" s="11" t="s">
        <v>349</v>
      </c>
      <c r="D109" s="11" t="s">
        <v>350</v>
      </c>
      <c r="E109" s="11" t="s">
        <v>20</v>
      </c>
      <c r="F109" s="11" t="s">
        <v>21</v>
      </c>
      <c r="G109" s="11">
        <v>4</v>
      </c>
      <c r="H109" s="11">
        <v>4500</v>
      </c>
      <c r="I109" s="11">
        <v>0.05</v>
      </c>
      <c r="J109" s="11">
        <v>17100</v>
      </c>
      <c r="K109" s="11">
        <v>11819.84</v>
      </c>
      <c r="L109" s="11">
        <v>5280.16</v>
      </c>
      <c r="M109" s="11" t="s">
        <v>36</v>
      </c>
      <c r="N109" s="11" t="s">
        <v>23</v>
      </c>
      <c r="O109" s="11" t="s">
        <v>24</v>
      </c>
      <c r="P109" s="11" t="s">
        <v>55</v>
      </c>
      <c r="Q109" s="11" t="s">
        <v>26</v>
      </c>
    </row>
    <row r="110" spans="1:17" x14ac:dyDescent="0.25">
      <c r="A110" s="11" t="s">
        <v>351</v>
      </c>
      <c r="B110" s="12">
        <v>45732</v>
      </c>
      <c r="C110" s="11" t="s">
        <v>105</v>
      </c>
      <c r="D110" s="11" t="s">
        <v>106</v>
      </c>
      <c r="E110" s="11" t="s">
        <v>54</v>
      </c>
      <c r="F110" s="11" t="s">
        <v>31</v>
      </c>
      <c r="G110" s="11">
        <v>3</v>
      </c>
      <c r="H110" s="11">
        <v>2800</v>
      </c>
      <c r="I110" s="11">
        <v>0.15</v>
      </c>
      <c r="J110" s="11">
        <v>7140</v>
      </c>
      <c r="K110" s="11">
        <v>6256.08</v>
      </c>
      <c r="L110" s="11">
        <v>883.92</v>
      </c>
      <c r="M110" s="11" t="s">
        <v>22</v>
      </c>
      <c r="N110" s="11" t="s">
        <v>23</v>
      </c>
      <c r="O110" s="11" t="s">
        <v>32</v>
      </c>
      <c r="P110" s="11" t="s">
        <v>95</v>
      </c>
      <c r="Q110" s="11" t="s">
        <v>26</v>
      </c>
    </row>
    <row r="111" spans="1:17" x14ac:dyDescent="0.25">
      <c r="A111" s="11" t="s">
        <v>352</v>
      </c>
      <c r="B111" s="12">
        <v>45853</v>
      </c>
      <c r="C111" s="11" t="s">
        <v>353</v>
      </c>
      <c r="D111" s="11" t="s">
        <v>354</v>
      </c>
      <c r="E111" s="11" t="s">
        <v>93</v>
      </c>
      <c r="F111" s="11" t="s">
        <v>94</v>
      </c>
      <c r="G111" s="11">
        <v>1</v>
      </c>
      <c r="H111" s="11">
        <v>2800</v>
      </c>
      <c r="I111" s="13">
        <v>0.2</v>
      </c>
      <c r="J111" s="11">
        <v>2240</v>
      </c>
      <c r="K111" s="11">
        <v>2407.86</v>
      </c>
      <c r="L111" s="11">
        <v>-167.86</v>
      </c>
      <c r="M111" s="11" t="s">
        <v>22</v>
      </c>
      <c r="N111" s="11" t="s">
        <v>23</v>
      </c>
      <c r="O111" s="11" t="s">
        <v>45</v>
      </c>
      <c r="P111" s="11" t="s">
        <v>95</v>
      </c>
      <c r="Q111" s="11" t="s">
        <v>26</v>
      </c>
    </row>
    <row r="112" spans="1:17" x14ac:dyDescent="0.25">
      <c r="A112" s="11" t="s">
        <v>355</v>
      </c>
      <c r="B112" s="12">
        <v>45999</v>
      </c>
      <c r="C112" s="11" t="s">
        <v>356</v>
      </c>
      <c r="D112" s="11" t="s">
        <v>357</v>
      </c>
      <c r="E112" s="11" t="s">
        <v>41</v>
      </c>
      <c r="F112" s="11" t="s">
        <v>42</v>
      </c>
      <c r="G112" s="11">
        <v>4</v>
      </c>
      <c r="H112" s="11">
        <v>7500</v>
      </c>
      <c r="I112" s="11">
        <v>0.1</v>
      </c>
      <c r="J112" s="11">
        <v>27000</v>
      </c>
      <c r="K112" s="11">
        <v>25051.97</v>
      </c>
      <c r="L112" s="11">
        <v>1948.03</v>
      </c>
      <c r="M112" s="11" t="s">
        <v>99</v>
      </c>
      <c r="N112" s="11" t="s">
        <v>71</v>
      </c>
      <c r="O112" s="11" t="s">
        <v>24</v>
      </c>
      <c r="P112" s="11" t="s">
        <v>25</v>
      </c>
      <c r="Q112" s="11" t="s">
        <v>26</v>
      </c>
    </row>
    <row r="113" spans="1:17" x14ac:dyDescent="0.25">
      <c r="A113" s="11" t="s">
        <v>358</v>
      </c>
      <c r="B113" s="12">
        <v>45958</v>
      </c>
      <c r="C113" s="11" t="s">
        <v>359</v>
      </c>
      <c r="D113" s="11" t="s">
        <v>360</v>
      </c>
      <c r="E113" s="11" t="s">
        <v>62</v>
      </c>
      <c r="F113" s="11" t="s">
        <v>21</v>
      </c>
      <c r="G113" s="11">
        <v>4</v>
      </c>
      <c r="H113" s="11">
        <v>1800</v>
      </c>
      <c r="I113" s="11">
        <v>0.1</v>
      </c>
      <c r="J113" s="11">
        <v>6480</v>
      </c>
      <c r="K113" s="11">
        <v>6273.12</v>
      </c>
      <c r="L113" s="11">
        <v>206.88</v>
      </c>
      <c r="M113" s="11" t="s">
        <v>36</v>
      </c>
      <c r="N113" s="11" t="s">
        <v>23</v>
      </c>
      <c r="O113" s="11" t="s">
        <v>45</v>
      </c>
      <c r="P113" s="11" t="s">
        <v>46</v>
      </c>
      <c r="Q113" s="11" t="s">
        <v>26</v>
      </c>
    </row>
    <row r="114" spans="1:17" x14ac:dyDescent="0.25">
      <c r="A114" s="11" t="s">
        <v>361</v>
      </c>
      <c r="B114" s="12">
        <v>45905</v>
      </c>
      <c r="C114" s="11" t="s">
        <v>362</v>
      </c>
      <c r="D114" s="11" t="s">
        <v>363</v>
      </c>
      <c r="E114" s="11" t="s">
        <v>103</v>
      </c>
      <c r="F114" s="11" t="s">
        <v>42</v>
      </c>
      <c r="G114" s="11">
        <v>2</v>
      </c>
      <c r="H114" s="11">
        <v>6000</v>
      </c>
      <c r="I114" s="11">
        <v>0.15</v>
      </c>
      <c r="J114" s="11">
        <v>10200</v>
      </c>
      <c r="K114" s="11">
        <v>8852.57</v>
      </c>
      <c r="L114" s="11">
        <v>1347.43</v>
      </c>
      <c r="M114" s="11" t="s">
        <v>43</v>
      </c>
      <c r="N114" s="11" t="s">
        <v>44</v>
      </c>
      <c r="O114" s="11" t="s">
        <v>24</v>
      </c>
      <c r="P114" s="11" t="s">
        <v>25</v>
      </c>
      <c r="Q114" s="11" t="s">
        <v>26</v>
      </c>
    </row>
    <row r="115" spans="1:17" x14ac:dyDescent="0.25">
      <c r="A115" s="11" t="s">
        <v>364</v>
      </c>
      <c r="B115" s="12">
        <v>45798</v>
      </c>
      <c r="C115" s="11" t="s">
        <v>245</v>
      </c>
      <c r="D115" s="11" t="s">
        <v>246</v>
      </c>
      <c r="E115" s="11" t="s">
        <v>103</v>
      </c>
      <c r="F115" s="11" t="s">
        <v>42</v>
      </c>
      <c r="G115" s="11">
        <v>1</v>
      </c>
      <c r="H115" s="11">
        <v>6000</v>
      </c>
      <c r="I115" s="11">
        <v>0.15</v>
      </c>
      <c r="J115" s="11">
        <v>5100</v>
      </c>
      <c r="K115" s="11">
        <v>5093.79</v>
      </c>
      <c r="L115" s="11">
        <v>6.21</v>
      </c>
      <c r="M115" s="11" t="s">
        <v>99</v>
      </c>
      <c r="N115" s="11" t="s">
        <v>71</v>
      </c>
      <c r="O115" s="11" t="s">
        <v>24</v>
      </c>
      <c r="P115" s="11" t="s">
        <v>55</v>
      </c>
      <c r="Q115" s="11" t="s">
        <v>47</v>
      </c>
    </row>
    <row r="116" spans="1:17" x14ac:dyDescent="0.25">
      <c r="A116" s="11" t="s">
        <v>365</v>
      </c>
      <c r="B116" s="12">
        <v>45968</v>
      </c>
      <c r="C116" s="11" t="s">
        <v>366</v>
      </c>
      <c r="D116" s="11" t="s">
        <v>367</v>
      </c>
      <c r="E116" s="11" t="s">
        <v>123</v>
      </c>
      <c r="F116" s="11" t="s">
        <v>21</v>
      </c>
      <c r="G116" s="11">
        <v>3</v>
      </c>
      <c r="H116" s="11">
        <v>2200</v>
      </c>
      <c r="I116" s="11">
        <v>0.05</v>
      </c>
      <c r="J116" s="11">
        <v>6270</v>
      </c>
      <c r="K116" s="11">
        <v>5256.39</v>
      </c>
      <c r="L116" s="11">
        <v>1013.61</v>
      </c>
      <c r="M116" s="11" t="s">
        <v>59</v>
      </c>
      <c r="N116" s="11" t="s">
        <v>59</v>
      </c>
      <c r="O116" s="11" t="s">
        <v>24</v>
      </c>
      <c r="P116" s="11" t="s">
        <v>46</v>
      </c>
      <c r="Q116" s="11" t="s">
        <v>60</v>
      </c>
    </row>
    <row r="117" spans="1:17" x14ac:dyDescent="0.25">
      <c r="A117" s="11" t="s">
        <v>368</v>
      </c>
      <c r="B117" s="12">
        <v>45816</v>
      </c>
      <c r="C117" s="11" t="s">
        <v>369</v>
      </c>
      <c r="D117" s="11" t="s">
        <v>370</v>
      </c>
      <c r="E117" s="11" t="s">
        <v>107</v>
      </c>
      <c r="F117" s="11" t="s">
        <v>108</v>
      </c>
      <c r="G117" s="11">
        <v>1</v>
      </c>
      <c r="H117" s="11">
        <v>1400</v>
      </c>
      <c r="I117" s="11">
        <v>0</v>
      </c>
      <c r="J117" s="11">
        <v>1400</v>
      </c>
      <c r="K117" s="11">
        <v>1096.6199999999999</v>
      </c>
      <c r="L117" s="11">
        <v>303.38</v>
      </c>
      <c r="M117" s="11" t="s">
        <v>70</v>
      </c>
      <c r="N117" s="11" t="s">
        <v>71</v>
      </c>
      <c r="O117" s="11" t="s">
        <v>45</v>
      </c>
      <c r="P117" s="11" t="s">
        <v>95</v>
      </c>
      <c r="Q117" s="11" t="s">
        <v>26</v>
      </c>
    </row>
    <row r="118" spans="1:17" x14ac:dyDescent="0.25">
      <c r="A118" s="11" t="s">
        <v>371</v>
      </c>
      <c r="B118" s="12">
        <v>45747</v>
      </c>
      <c r="C118" s="11" t="s">
        <v>372</v>
      </c>
      <c r="D118" s="11" t="s">
        <v>373</v>
      </c>
      <c r="E118" s="11" t="s">
        <v>103</v>
      </c>
      <c r="F118" s="11" t="s">
        <v>42</v>
      </c>
      <c r="G118" s="11">
        <v>3</v>
      </c>
      <c r="H118" s="11">
        <v>6000</v>
      </c>
      <c r="I118" s="11">
        <v>0.15</v>
      </c>
      <c r="J118" s="11">
        <v>15300</v>
      </c>
      <c r="K118" s="11">
        <v>14956.16</v>
      </c>
      <c r="L118" s="11">
        <v>343.84</v>
      </c>
      <c r="M118" s="11" t="s">
        <v>22</v>
      </c>
      <c r="N118" s="11" t="s">
        <v>23</v>
      </c>
      <c r="O118" s="11" t="s">
        <v>32</v>
      </c>
      <c r="P118" s="11" t="s">
        <v>25</v>
      </c>
      <c r="Q118" s="11" t="s">
        <v>47</v>
      </c>
    </row>
    <row r="119" spans="1:17" x14ac:dyDescent="0.25">
      <c r="A119" s="11" t="s">
        <v>374</v>
      </c>
      <c r="B119" s="12">
        <v>45904</v>
      </c>
      <c r="C119" s="11" t="s">
        <v>375</v>
      </c>
      <c r="D119" s="11" t="s">
        <v>376</v>
      </c>
      <c r="E119" s="11" t="s">
        <v>41</v>
      </c>
      <c r="F119" s="11" t="s">
        <v>42</v>
      </c>
      <c r="G119" s="11">
        <v>2</v>
      </c>
      <c r="H119" s="11">
        <v>7500</v>
      </c>
      <c r="I119" s="13">
        <v>0.1</v>
      </c>
      <c r="J119" s="11">
        <v>13500</v>
      </c>
      <c r="K119" s="11">
        <v>12752.87</v>
      </c>
      <c r="L119" s="11">
        <v>747.13</v>
      </c>
      <c r="M119" s="11" t="s">
        <v>36</v>
      </c>
      <c r="N119" s="11" t="s">
        <v>23</v>
      </c>
      <c r="O119" s="11" t="s">
        <v>32</v>
      </c>
      <c r="P119" s="11" t="s">
        <v>37</v>
      </c>
      <c r="Q119" s="11" t="s">
        <v>26</v>
      </c>
    </row>
    <row r="120" spans="1:17" x14ac:dyDescent="0.25">
      <c r="A120" s="11" t="s">
        <v>377</v>
      </c>
      <c r="B120" s="12">
        <v>45943</v>
      </c>
      <c r="C120" s="11" t="s">
        <v>39</v>
      </c>
      <c r="D120" s="11" t="s">
        <v>40</v>
      </c>
      <c r="E120" s="11" t="s">
        <v>107</v>
      </c>
      <c r="F120" s="11" t="s">
        <v>108</v>
      </c>
      <c r="G120" s="11">
        <v>2</v>
      </c>
      <c r="H120" s="11">
        <v>1400</v>
      </c>
      <c r="I120" s="13">
        <v>0.15</v>
      </c>
      <c r="J120" s="11">
        <v>2380</v>
      </c>
      <c r="K120" s="11">
        <v>2329.1999999999998</v>
      </c>
      <c r="L120" s="11">
        <v>50.8</v>
      </c>
      <c r="M120" s="11" t="s">
        <v>59</v>
      </c>
      <c r="N120" s="11" t="s">
        <v>59</v>
      </c>
      <c r="O120" s="11" t="s">
        <v>24</v>
      </c>
      <c r="P120" s="11" t="s">
        <v>46</v>
      </c>
      <c r="Q120" s="11" t="s">
        <v>47</v>
      </c>
    </row>
    <row r="121" spans="1:17" x14ac:dyDescent="0.25">
      <c r="A121" s="11" t="s">
        <v>378</v>
      </c>
      <c r="B121" s="12">
        <v>46002</v>
      </c>
      <c r="C121" s="11" t="s">
        <v>379</v>
      </c>
      <c r="D121" s="11" t="s">
        <v>380</v>
      </c>
      <c r="E121" s="11" t="s">
        <v>20</v>
      </c>
      <c r="F121" s="11" t="s">
        <v>21</v>
      </c>
      <c r="G121" s="11">
        <v>4</v>
      </c>
      <c r="H121" s="11">
        <v>4500</v>
      </c>
      <c r="I121" s="11">
        <v>0.1</v>
      </c>
      <c r="J121" s="11">
        <v>16200</v>
      </c>
      <c r="K121" s="11">
        <v>13277.45</v>
      </c>
      <c r="L121" s="11">
        <v>2922.55</v>
      </c>
      <c r="M121" s="11" t="s">
        <v>36</v>
      </c>
      <c r="N121" s="11" t="s">
        <v>23</v>
      </c>
      <c r="O121" s="11" t="s">
        <v>24</v>
      </c>
      <c r="P121" s="11" t="s">
        <v>46</v>
      </c>
      <c r="Q121" s="11" t="s">
        <v>26</v>
      </c>
    </row>
    <row r="122" spans="1:17" x14ac:dyDescent="0.25">
      <c r="A122" s="11" t="s">
        <v>381</v>
      </c>
      <c r="B122" s="12">
        <v>45975</v>
      </c>
      <c r="C122" s="11" t="s">
        <v>382</v>
      </c>
      <c r="D122" s="11" t="s">
        <v>383</v>
      </c>
      <c r="E122" s="11" t="s">
        <v>116</v>
      </c>
      <c r="F122" s="11" t="s">
        <v>94</v>
      </c>
      <c r="G122" s="11">
        <v>4</v>
      </c>
      <c r="H122" s="11">
        <v>1800</v>
      </c>
      <c r="I122" s="11">
        <v>0</v>
      </c>
      <c r="J122" s="11">
        <v>7200</v>
      </c>
      <c r="K122" s="11">
        <v>5690.3</v>
      </c>
      <c r="L122" s="11">
        <v>1509.7</v>
      </c>
      <c r="M122" s="11" t="s">
        <v>59</v>
      </c>
      <c r="N122" s="11" t="s">
        <v>59</v>
      </c>
      <c r="O122" s="11" t="s">
        <v>45</v>
      </c>
      <c r="P122" s="11" t="s">
        <v>55</v>
      </c>
      <c r="Q122" s="11" t="s">
        <v>60</v>
      </c>
    </row>
    <row r="123" spans="1:17" x14ac:dyDescent="0.25">
      <c r="A123" s="11" t="s">
        <v>384</v>
      </c>
      <c r="B123" s="12">
        <v>45717</v>
      </c>
      <c r="C123" s="11" t="s">
        <v>52</v>
      </c>
      <c r="D123" s="11" t="s">
        <v>53</v>
      </c>
      <c r="E123" s="11" t="s">
        <v>131</v>
      </c>
      <c r="F123" s="11" t="s">
        <v>21</v>
      </c>
      <c r="G123" s="11">
        <v>3</v>
      </c>
      <c r="H123" s="11">
        <v>1600</v>
      </c>
      <c r="I123" s="11">
        <v>0.15</v>
      </c>
      <c r="J123" s="11">
        <v>4080</v>
      </c>
      <c r="K123" s="11">
        <v>4164.67</v>
      </c>
      <c r="L123" s="11">
        <v>-84.67</v>
      </c>
      <c r="M123" s="11" t="s">
        <v>80</v>
      </c>
      <c r="N123" s="11" t="s">
        <v>81</v>
      </c>
      <c r="O123" s="11" t="s">
        <v>24</v>
      </c>
      <c r="P123" s="11" t="s">
        <v>37</v>
      </c>
      <c r="Q123" s="11" t="s">
        <v>26</v>
      </c>
    </row>
    <row r="124" spans="1:17" x14ac:dyDescent="0.25">
      <c r="A124" s="11" t="s">
        <v>385</v>
      </c>
      <c r="B124" s="12">
        <v>45727</v>
      </c>
      <c r="C124" s="11" t="s">
        <v>386</v>
      </c>
      <c r="D124" s="11" t="s">
        <v>387</v>
      </c>
      <c r="E124" s="11" t="s">
        <v>20</v>
      </c>
      <c r="F124" s="11" t="s">
        <v>21</v>
      </c>
      <c r="G124" s="11">
        <v>2</v>
      </c>
      <c r="H124" s="11">
        <v>4500</v>
      </c>
      <c r="I124" s="11">
        <v>0.2</v>
      </c>
      <c r="J124" s="11">
        <v>7200</v>
      </c>
      <c r="K124" s="11">
        <v>6617.99</v>
      </c>
      <c r="L124" s="11">
        <v>582.01</v>
      </c>
      <c r="M124" s="11" t="s">
        <v>75</v>
      </c>
      <c r="N124" s="11" t="s">
        <v>76</v>
      </c>
      <c r="O124" s="11" t="s">
        <v>32</v>
      </c>
      <c r="P124" s="11" t="s">
        <v>25</v>
      </c>
      <c r="Q124" s="11" t="s">
        <v>26</v>
      </c>
    </row>
    <row r="125" spans="1:17" x14ac:dyDescent="0.25">
      <c r="A125" s="11" t="s">
        <v>388</v>
      </c>
      <c r="B125" s="12">
        <v>45908</v>
      </c>
      <c r="C125" s="11" t="s">
        <v>156</v>
      </c>
      <c r="D125" s="11" t="s">
        <v>157</v>
      </c>
      <c r="E125" s="11" t="s">
        <v>107</v>
      </c>
      <c r="F125" s="11" t="s">
        <v>108</v>
      </c>
      <c r="G125" s="11">
        <v>4</v>
      </c>
      <c r="H125" s="11">
        <v>1400</v>
      </c>
      <c r="I125" s="13">
        <v>0</v>
      </c>
      <c r="J125" s="11">
        <v>5600</v>
      </c>
      <c r="K125" s="11">
        <v>4865.5600000000004</v>
      </c>
      <c r="L125" s="11">
        <v>734.44</v>
      </c>
      <c r="M125" s="11" t="s">
        <v>75</v>
      </c>
      <c r="N125" s="11" t="s">
        <v>76</v>
      </c>
      <c r="O125" s="11" t="s">
        <v>24</v>
      </c>
      <c r="P125" s="11" t="s">
        <v>46</v>
      </c>
      <c r="Q125" s="11" t="s">
        <v>26</v>
      </c>
    </row>
    <row r="126" spans="1:17" x14ac:dyDescent="0.25">
      <c r="A126" s="11" t="s">
        <v>389</v>
      </c>
      <c r="B126" s="12">
        <v>45843</v>
      </c>
      <c r="C126" s="11" t="s">
        <v>390</v>
      </c>
      <c r="D126" s="11" t="s">
        <v>391</v>
      </c>
      <c r="E126" s="11" t="s">
        <v>131</v>
      </c>
      <c r="F126" s="11" t="s">
        <v>21</v>
      </c>
      <c r="G126" s="11">
        <v>4</v>
      </c>
      <c r="H126" s="11">
        <v>1600</v>
      </c>
      <c r="I126" s="11">
        <v>0.05</v>
      </c>
      <c r="J126" s="11">
        <v>6080</v>
      </c>
      <c r="K126" s="11">
        <v>4700.72</v>
      </c>
      <c r="L126" s="11">
        <v>1379.28</v>
      </c>
      <c r="M126" s="11" t="s">
        <v>43</v>
      </c>
      <c r="N126" s="11" t="s">
        <v>44</v>
      </c>
      <c r="O126" s="11" t="s">
        <v>24</v>
      </c>
      <c r="P126" s="11" t="s">
        <v>46</v>
      </c>
      <c r="Q126" s="11" t="s">
        <v>26</v>
      </c>
    </row>
    <row r="127" spans="1:17" x14ac:dyDescent="0.25">
      <c r="A127" s="11" t="s">
        <v>392</v>
      </c>
      <c r="B127" s="12">
        <v>45720</v>
      </c>
      <c r="C127" s="11" t="s">
        <v>39</v>
      </c>
      <c r="D127" s="11" t="s">
        <v>40</v>
      </c>
      <c r="E127" s="11" t="s">
        <v>85</v>
      </c>
      <c r="F127" s="11" t="s">
        <v>86</v>
      </c>
      <c r="G127" s="11">
        <v>3</v>
      </c>
      <c r="H127" s="11">
        <v>450</v>
      </c>
      <c r="I127" s="11">
        <v>0.05</v>
      </c>
      <c r="J127" s="11">
        <v>1282.5</v>
      </c>
      <c r="K127" s="11">
        <v>1083.29</v>
      </c>
      <c r="L127" s="11">
        <v>199.21</v>
      </c>
      <c r="M127" s="11" t="s">
        <v>70</v>
      </c>
      <c r="N127" s="11" t="s">
        <v>71</v>
      </c>
      <c r="O127" s="11" t="s">
        <v>24</v>
      </c>
      <c r="P127" s="11" t="s">
        <v>25</v>
      </c>
      <c r="Q127" s="11" t="s">
        <v>26</v>
      </c>
    </row>
    <row r="128" spans="1:17" x14ac:dyDescent="0.25">
      <c r="A128" s="11" t="s">
        <v>393</v>
      </c>
      <c r="B128" s="12">
        <v>45722</v>
      </c>
      <c r="C128" s="11" t="s">
        <v>254</v>
      </c>
      <c r="D128" s="11" t="s">
        <v>255</v>
      </c>
      <c r="E128" s="11" t="s">
        <v>141</v>
      </c>
      <c r="F128" s="11" t="s">
        <v>21</v>
      </c>
      <c r="G128" s="11">
        <v>3</v>
      </c>
      <c r="H128" s="11">
        <v>22000</v>
      </c>
      <c r="I128" s="11">
        <v>0.05</v>
      </c>
      <c r="J128" s="11">
        <v>62700</v>
      </c>
      <c r="K128" s="11">
        <v>55496.63</v>
      </c>
      <c r="L128" s="11">
        <v>7203.37</v>
      </c>
      <c r="M128" s="11" t="s">
        <v>22</v>
      </c>
      <c r="N128" s="11" t="s">
        <v>23</v>
      </c>
      <c r="O128" s="11" t="s">
        <v>32</v>
      </c>
      <c r="P128" s="11" t="s">
        <v>95</v>
      </c>
      <c r="Q128" s="11" t="s">
        <v>47</v>
      </c>
    </row>
    <row r="129" spans="1:17" x14ac:dyDescent="0.25">
      <c r="A129" s="11" t="s">
        <v>394</v>
      </c>
      <c r="B129" s="12">
        <v>45733</v>
      </c>
      <c r="C129" s="11" t="s">
        <v>395</v>
      </c>
      <c r="D129" s="11" t="s">
        <v>396</v>
      </c>
      <c r="E129" s="11" t="s">
        <v>112</v>
      </c>
      <c r="F129" s="11" t="s">
        <v>94</v>
      </c>
      <c r="G129" s="11">
        <v>2</v>
      </c>
      <c r="H129" s="11">
        <v>800</v>
      </c>
      <c r="I129" s="13">
        <v>0.1</v>
      </c>
      <c r="J129" s="11">
        <v>1440</v>
      </c>
      <c r="K129" s="11">
        <v>1355.89</v>
      </c>
      <c r="L129" s="11">
        <v>84.11</v>
      </c>
      <c r="M129" s="11" t="s">
        <v>99</v>
      </c>
      <c r="N129" s="11" t="s">
        <v>71</v>
      </c>
      <c r="O129" s="11" t="s">
        <v>32</v>
      </c>
      <c r="P129" s="11" t="s">
        <v>95</v>
      </c>
      <c r="Q129" s="11" t="s">
        <v>47</v>
      </c>
    </row>
    <row r="130" spans="1:17" x14ac:dyDescent="0.25">
      <c r="A130" s="11" t="s">
        <v>397</v>
      </c>
      <c r="B130" s="12">
        <v>45996</v>
      </c>
      <c r="C130" s="11" t="s">
        <v>372</v>
      </c>
      <c r="D130" s="11" t="s">
        <v>373</v>
      </c>
      <c r="E130" s="11" t="s">
        <v>41</v>
      </c>
      <c r="F130" s="11" t="s">
        <v>42</v>
      </c>
      <c r="G130" s="11">
        <v>2</v>
      </c>
      <c r="H130" s="11">
        <v>7500</v>
      </c>
      <c r="I130" s="13">
        <v>0</v>
      </c>
      <c r="J130" s="11">
        <v>15000</v>
      </c>
      <c r="K130" s="11">
        <v>9801.27</v>
      </c>
      <c r="L130" s="11">
        <v>5198.7299999999996</v>
      </c>
      <c r="M130" s="11" t="s">
        <v>99</v>
      </c>
      <c r="N130" s="11" t="s">
        <v>71</v>
      </c>
      <c r="O130" s="11" t="s">
        <v>32</v>
      </c>
      <c r="P130" s="11" t="s">
        <v>25</v>
      </c>
      <c r="Q130" s="11" t="s">
        <v>26</v>
      </c>
    </row>
    <row r="131" spans="1:17" x14ac:dyDescent="0.25">
      <c r="A131" s="11" t="s">
        <v>398</v>
      </c>
      <c r="B131" s="12">
        <v>45684</v>
      </c>
      <c r="C131" s="11" t="s">
        <v>399</v>
      </c>
      <c r="D131" s="11" t="s">
        <v>400</v>
      </c>
      <c r="E131" s="11" t="s">
        <v>158</v>
      </c>
      <c r="F131" s="11" t="s">
        <v>21</v>
      </c>
      <c r="G131" s="11">
        <v>2</v>
      </c>
      <c r="H131" s="11">
        <v>55000</v>
      </c>
      <c r="I131" s="13">
        <v>0.1</v>
      </c>
      <c r="J131" s="11">
        <v>99000</v>
      </c>
      <c r="K131" s="11">
        <v>82150.3</v>
      </c>
      <c r="L131" s="11">
        <v>16849.7</v>
      </c>
      <c r="M131" s="11" t="s">
        <v>80</v>
      </c>
      <c r="N131" s="11" t="s">
        <v>81</v>
      </c>
      <c r="O131" s="11" t="s">
        <v>24</v>
      </c>
      <c r="P131" s="11" t="s">
        <v>55</v>
      </c>
      <c r="Q131" s="11" t="s">
        <v>26</v>
      </c>
    </row>
    <row r="132" spans="1:17" x14ac:dyDescent="0.25">
      <c r="A132" s="11" t="s">
        <v>401</v>
      </c>
      <c r="B132" s="12">
        <v>45961</v>
      </c>
      <c r="C132" s="11" t="s">
        <v>217</v>
      </c>
      <c r="D132" s="11" t="s">
        <v>218</v>
      </c>
      <c r="E132" s="11" t="s">
        <v>131</v>
      </c>
      <c r="F132" s="11" t="s">
        <v>21</v>
      </c>
      <c r="G132" s="11">
        <v>3</v>
      </c>
      <c r="H132" s="11">
        <v>1600</v>
      </c>
      <c r="I132" s="11">
        <v>0.2</v>
      </c>
      <c r="J132" s="11">
        <v>3840</v>
      </c>
      <c r="K132" s="11">
        <v>3676.24</v>
      </c>
      <c r="L132" s="11">
        <v>163.76</v>
      </c>
      <c r="M132" s="11" t="s">
        <v>43</v>
      </c>
      <c r="N132" s="11" t="s">
        <v>44</v>
      </c>
      <c r="O132" s="11" t="s">
        <v>24</v>
      </c>
      <c r="P132" s="11" t="s">
        <v>55</v>
      </c>
      <c r="Q132" s="11" t="s">
        <v>60</v>
      </c>
    </row>
    <row r="133" spans="1:17" x14ac:dyDescent="0.25">
      <c r="A133" s="11" t="s">
        <v>402</v>
      </c>
      <c r="B133" s="12">
        <v>45689</v>
      </c>
      <c r="C133" s="11" t="s">
        <v>403</v>
      </c>
      <c r="D133" s="11" t="s">
        <v>404</v>
      </c>
      <c r="E133" s="11" t="s">
        <v>103</v>
      </c>
      <c r="F133" s="11" t="s">
        <v>42</v>
      </c>
      <c r="G133" s="11">
        <v>4</v>
      </c>
      <c r="H133" s="11">
        <v>6000</v>
      </c>
      <c r="I133" s="11">
        <v>0</v>
      </c>
      <c r="J133" s="11">
        <v>24000</v>
      </c>
      <c r="K133" s="11">
        <v>17816.93</v>
      </c>
      <c r="L133" s="11">
        <v>6183.07</v>
      </c>
      <c r="M133" s="11" t="s">
        <v>70</v>
      </c>
      <c r="N133" s="11" t="s">
        <v>71</v>
      </c>
      <c r="O133" s="11" t="s">
        <v>24</v>
      </c>
      <c r="P133" s="11" t="s">
        <v>55</v>
      </c>
      <c r="Q133" s="11" t="s">
        <v>26</v>
      </c>
    </row>
    <row r="134" spans="1:17" x14ac:dyDescent="0.25">
      <c r="A134" s="11" t="s">
        <v>405</v>
      </c>
      <c r="B134" s="12">
        <v>45822</v>
      </c>
      <c r="C134" s="11" t="s">
        <v>406</v>
      </c>
      <c r="D134" s="11" t="s">
        <v>407</v>
      </c>
      <c r="E134" s="11" t="s">
        <v>131</v>
      </c>
      <c r="F134" s="11" t="s">
        <v>21</v>
      </c>
      <c r="G134" s="11">
        <v>1</v>
      </c>
      <c r="H134" s="11">
        <v>1600</v>
      </c>
      <c r="I134" s="11">
        <v>0</v>
      </c>
      <c r="J134" s="11">
        <v>1600</v>
      </c>
      <c r="K134" s="11">
        <v>1086.44</v>
      </c>
      <c r="L134" s="11">
        <v>513.55999999999995</v>
      </c>
      <c r="M134" s="11" t="s">
        <v>80</v>
      </c>
      <c r="N134" s="11" t="s">
        <v>81</v>
      </c>
      <c r="O134" s="11" t="s">
        <v>45</v>
      </c>
      <c r="P134" s="11" t="s">
        <v>25</v>
      </c>
      <c r="Q134" s="11" t="s">
        <v>47</v>
      </c>
    </row>
    <row r="135" spans="1:17" x14ac:dyDescent="0.25">
      <c r="A135" s="11" t="s">
        <v>408</v>
      </c>
      <c r="B135" s="12">
        <v>45929</v>
      </c>
      <c r="C135" s="11" t="s">
        <v>386</v>
      </c>
      <c r="D135" s="11" t="s">
        <v>387</v>
      </c>
      <c r="E135" s="11" t="s">
        <v>66</v>
      </c>
      <c r="F135" s="11" t="s">
        <v>31</v>
      </c>
      <c r="G135" s="11">
        <v>4</v>
      </c>
      <c r="H135" s="11">
        <v>3500</v>
      </c>
      <c r="I135" s="11">
        <v>0.2</v>
      </c>
      <c r="J135" s="11">
        <v>11200</v>
      </c>
      <c r="K135" s="11">
        <v>10727.87</v>
      </c>
      <c r="L135" s="11">
        <v>472.13</v>
      </c>
      <c r="M135" s="11" t="s">
        <v>36</v>
      </c>
      <c r="N135" s="11" t="s">
        <v>23</v>
      </c>
      <c r="O135" s="11" t="s">
        <v>45</v>
      </c>
      <c r="P135" s="11" t="s">
        <v>55</v>
      </c>
      <c r="Q135" s="11" t="s">
        <v>60</v>
      </c>
    </row>
    <row r="136" spans="1:17" x14ac:dyDescent="0.25">
      <c r="A136" s="11" t="s">
        <v>409</v>
      </c>
      <c r="B136" s="12">
        <v>45878</v>
      </c>
      <c r="C136" s="11" t="s">
        <v>410</v>
      </c>
      <c r="D136" s="11" t="s">
        <v>411</v>
      </c>
      <c r="E136" s="11" t="s">
        <v>20</v>
      </c>
      <c r="F136" s="11" t="s">
        <v>21</v>
      </c>
      <c r="G136" s="11">
        <v>5</v>
      </c>
      <c r="H136" s="11">
        <v>4500</v>
      </c>
      <c r="I136" s="11">
        <v>0.05</v>
      </c>
      <c r="J136" s="11">
        <v>21375</v>
      </c>
      <c r="K136" s="11">
        <v>15807.45</v>
      </c>
      <c r="L136" s="11">
        <v>5567.55</v>
      </c>
      <c r="M136" s="11" t="s">
        <v>70</v>
      </c>
      <c r="N136" s="11" t="s">
        <v>71</v>
      </c>
      <c r="O136" s="11" t="s">
        <v>32</v>
      </c>
      <c r="P136" s="11" t="s">
        <v>37</v>
      </c>
      <c r="Q136" s="11" t="s">
        <v>26</v>
      </c>
    </row>
    <row r="137" spans="1:17" x14ac:dyDescent="0.25">
      <c r="A137" s="11" t="s">
        <v>412</v>
      </c>
      <c r="B137" s="12">
        <v>45876</v>
      </c>
      <c r="C137" s="11" t="s">
        <v>194</v>
      </c>
      <c r="D137" s="11" t="s">
        <v>195</v>
      </c>
      <c r="E137" s="11" t="s">
        <v>30</v>
      </c>
      <c r="F137" s="11" t="s">
        <v>31</v>
      </c>
      <c r="G137" s="11">
        <v>1</v>
      </c>
      <c r="H137" s="11">
        <v>1200</v>
      </c>
      <c r="I137" s="13">
        <v>0.1</v>
      </c>
      <c r="J137" s="11">
        <v>1080</v>
      </c>
      <c r="K137" s="11">
        <v>850.35</v>
      </c>
      <c r="L137" s="11">
        <v>229.65</v>
      </c>
      <c r="M137" s="11" t="s">
        <v>59</v>
      </c>
      <c r="N137" s="11" t="s">
        <v>59</v>
      </c>
      <c r="O137" s="11" t="s">
        <v>32</v>
      </c>
      <c r="P137" s="11" t="s">
        <v>37</v>
      </c>
      <c r="Q137" s="11" t="s">
        <v>26</v>
      </c>
    </row>
    <row r="138" spans="1:17" x14ac:dyDescent="0.25">
      <c r="A138" s="11" t="s">
        <v>413</v>
      </c>
      <c r="B138" s="12">
        <v>45879</v>
      </c>
      <c r="C138" s="11" t="s">
        <v>333</v>
      </c>
      <c r="D138" s="11" t="s">
        <v>334</v>
      </c>
      <c r="E138" s="11" t="s">
        <v>62</v>
      </c>
      <c r="F138" s="11" t="s">
        <v>21</v>
      </c>
      <c r="G138" s="11">
        <v>1</v>
      </c>
      <c r="H138" s="11">
        <v>1800</v>
      </c>
      <c r="I138" s="13">
        <v>0</v>
      </c>
      <c r="J138" s="11">
        <v>1800</v>
      </c>
      <c r="K138" s="11">
        <v>1475.86</v>
      </c>
      <c r="L138" s="11">
        <v>324.14</v>
      </c>
      <c r="M138" s="11" t="s">
        <v>43</v>
      </c>
      <c r="N138" s="11" t="s">
        <v>44</v>
      </c>
      <c r="O138" s="11" t="s">
        <v>32</v>
      </c>
      <c r="P138" s="11" t="s">
        <v>25</v>
      </c>
      <c r="Q138" s="11" t="s">
        <v>26</v>
      </c>
    </row>
    <row r="139" spans="1:17" x14ac:dyDescent="0.25">
      <c r="A139" s="11" t="s">
        <v>414</v>
      </c>
      <c r="B139" s="12">
        <v>45839</v>
      </c>
      <c r="C139" s="11" t="s">
        <v>336</v>
      </c>
      <c r="D139" s="11" t="s">
        <v>337</v>
      </c>
      <c r="E139" s="11" t="s">
        <v>66</v>
      </c>
      <c r="F139" s="11" t="s">
        <v>31</v>
      </c>
      <c r="G139" s="11">
        <v>1</v>
      </c>
      <c r="H139" s="11">
        <v>3500</v>
      </c>
      <c r="I139" s="13">
        <v>0.15</v>
      </c>
      <c r="J139" s="11">
        <v>2975</v>
      </c>
      <c r="K139" s="11">
        <v>3012.25</v>
      </c>
      <c r="L139" s="11">
        <v>-37.25</v>
      </c>
      <c r="M139" s="11" t="s">
        <v>75</v>
      </c>
      <c r="N139" s="11" t="s">
        <v>76</v>
      </c>
      <c r="O139" s="11" t="s">
        <v>32</v>
      </c>
      <c r="P139" s="11" t="s">
        <v>46</v>
      </c>
      <c r="Q139" s="11" t="s">
        <v>47</v>
      </c>
    </row>
    <row r="140" spans="1:17" x14ac:dyDescent="0.25">
      <c r="A140" s="11" t="s">
        <v>415</v>
      </c>
      <c r="B140" s="12">
        <v>45953</v>
      </c>
      <c r="C140" s="11" t="s">
        <v>136</v>
      </c>
      <c r="D140" s="11" t="s">
        <v>137</v>
      </c>
      <c r="E140" s="11" t="s">
        <v>103</v>
      </c>
      <c r="F140" s="11" t="s">
        <v>42</v>
      </c>
      <c r="G140" s="11">
        <v>3</v>
      </c>
      <c r="H140" s="11">
        <v>6000</v>
      </c>
      <c r="I140" s="13">
        <v>0</v>
      </c>
      <c r="J140" s="11">
        <v>18000</v>
      </c>
      <c r="K140" s="11">
        <v>14418.89</v>
      </c>
      <c r="L140" s="11">
        <v>3581.11</v>
      </c>
      <c r="M140" s="11" t="s">
        <v>22</v>
      </c>
      <c r="N140" s="11" t="s">
        <v>23</v>
      </c>
      <c r="O140" s="11" t="s">
        <v>24</v>
      </c>
      <c r="P140" s="11" t="s">
        <v>55</v>
      </c>
      <c r="Q140" s="11" t="s">
        <v>26</v>
      </c>
    </row>
    <row r="141" spans="1:17" x14ac:dyDescent="0.25">
      <c r="A141" s="11" t="s">
        <v>416</v>
      </c>
      <c r="B141" s="12">
        <v>45951</v>
      </c>
      <c r="C141" s="11" t="s">
        <v>417</v>
      </c>
      <c r="D141" s="11" t="s">
        <v>418</v>
      </c>
      <c r="E141" s="11" t="s">
        <v>54</v>
      </c>
      <c r="F141" s="11" t="s">
        <v>31</v>
      </c>
      <c r="G141" s="11">
        <v>1</v>
      </c>
      <c r="H141" s="11">
        <v>2800</v>
      </c>
      <c r="I141" s="11">
        <v>0.1</v>
      </c>
      <c r="J141" s="11">
        <v>2520</v>
      </c>
      <c r="K141" s="11">
        <v>2096.35</v>
      </c>
      <c r="L141" s="11">
        <v>423.65</v>
      </c>
      <c r="M141" s="11" t="s">
        <v>22</v>
      </c>
      <c r="N141" s="11" t="s">
        <v>23</v>
      </c>
      <c r="O141" s="11" t="s">
        <v>45</v>
      </c>
      <c r="P141" s="11" t="s">
        <v>25</v>
      </c>
      <c r="Q141" s="11" t="s">
        <v>47</v>
      </c>
    </row>
    <row r="142" spans="1:17" x14ac:dyDescent="0.25">
      <c r="A142" s="11" t="s">
        <v>419</v>
      </c>
      <c r="B142" s="12">
        <v>45672</v>
      </c>
      <c r="C142" s="11" t="s">
        <v>420</v>
      </c>
      <c r="D142" s="11" t="s">
        <v>421</v>
      </c>
      <c r="E142" s="11" t="s">
        <v>158</v>
      </c>
      <c r="F142" s="11" t="s">
        <v>21</v>
      </c>
      <c r="G142" s="11">
        <v>5</v>
      </c>
      <c r="H142" s="11">
        <v>55000</v>
      </c>
      <c r="I142" s="11">
        <v>0.1</v>
      </c>
      <c r="J142" s="11">
        <v>247500</v>
      </c>
      <c r="K142" s="11">
        <v>223195.7</v>
      </c>
      <c r="L142" s="11">
        <v>24304.3</v>
      </c>
      <c r="M142" s="11" t="s">
        <v>80</v>
      </c>
      <c r="N142" s="11" t="s">
        <v>81</v>
      </c>
      <c r="O142" s="11" t="s">
        <v>24</v>
      </c>
      <c r="P142" s="11" t="s">
        <v>46</v>
      </c>
      <c r="Q142" s="11" t="s">
        <v>26</v>
      </c>
    </row>
    <row r="143" spans="1:17" x14ac:dyDescent="0.25">
      <c r="A143" s="11" t="s">
        <v>422</v>
      </c>
      <c r="B143" s="12">
        <v>45947</v>
      </c>
      <c r="C143" s="11" t="s">
        <v>254</v>
      </c>
      <c r="D143" s="11" t="s">
        <v>255</v>
      </c>
      <c r="E143" s="11" t="s">
        <v>158</v>
      </c>
      <c r="F143" s="11" t="s">
        <v>21</v>
      </c>
      <c r="G143" s="11">
        <v>2</v>
      </c>
      <c r="H143" s="11">
        <v>55000</v>
      </c>
      <c r="I143" s="11">
        <v>0.05</v>
      </c>
      <c r="J143" s="11">
        <v>104500</v>
      </c>
      <c r="K143" s="11">
        <v>75089.429999999993</v>
      </c>
      <c r="L143" s="11">
        <v>29410.57</v>
      </c>
      <c r="M143" s="11" t="s">
        <v>75</v>
      </c>
      <c r="N143" s="11" t="s">
        <v>76</v>
      </c>
      <c r="O143" s="11" t="s">
        <v>24</v>
      </c>
      <c r="P143" s="11" t="s">
        <v>55</v>
      </c>
      <c r="Q143" s="11" t="s">
        <v>26</v>
      </c>
    </row>
    <row r="144" spans="1:17" x14ac:dyDescent="0.25">
      <c r="A144" s="11" t="s">
        <v>423</v>
      </c>
      <c r="B144" s="12">
        <v>45890</v>
      </c>
      <c r="C144" s="11" t="s">
        <v>88</v>
      </c>
      <c r="D144" s="11" t="s">
        <v>89</v>
      </c>
      <c r="E144" s="11" t="s">
        <v>112</v>
      </c>
      <c r="F144" s="11" t="s">
        <v>94</v>
      </c>
      <c r="G144" s="11">
        <v>4</v>
      </c>
      <c r="H144" s="11">
        <v>800</v>
      </c>
      <c r="I144" s="11">
        <v>0.15</v>
      </c>
      <c r="J144" s="11">
        <v>2720</v>
      </c>
      <c r="K144" s="11">
        <v>2352.36</v>
      </c>
      <c r="L144" s="11">
        <v>367.64</v>
      </c>
      <c r="M144" s="11" t="s">
        <v>59</v>
      </c>
      <c r="N144" s="11" t="s">
        <v>59</v>
      </c>
      <c r="O144" s="11" t="s">
        <v>45</v>
      </c>
      <c r="P144" s="11" t="s">
        <v>46</v>
      </c>
      <c r="Q144" s="11" t="s">
        <v>47</v>
      </c>
    </row>
    <row r="145" spans="1:17" x14ac:dyDescent="0.25">
      <c r="A145" s="11" t="s">
        <v>424</v>
      </c>
      <c r="B145" s="12">
        <v>45738</v>
      </c>
      <c r="C145" s="11" t="s">
        <v>143</v>
      </c>
      <c r="D145" s="11" t="s">
        <v>144</v>
      </c>
      <c r="E145" s="11" t="s">
        <v>62</v>
      </c>
      <c r="F145" s="11" t="s">
        <v>21</v>
      </c>
      <c r="G145" s="11">
        <v>1</v>
      </c>
      <c r="H145" s="11">
        <v>1800</v>
      </c>
      <c r="I145" s="11">
        <v>0.05</v>
      </c>
      <c r="J145" s="11">
        <v>1710</v>
      </c>
      <c r="K145" s="11">
        <v>1203.77</v>
      </c>
      <c r="L145" s="11">
        <v>506.23</v>
      </c>
      <c r="M145" s="11" t="s">
        <v>99</v>
      </c>
      <c r="N145" s="11" t="s">
        <v>71</v>
      </c>
      <c r="O145" s="11" t="s">
        <v>45</v>
      </c>
      <c r="P145" s="11" t="s">
        <v>37</v>
      </c>
      <c r="Q145" s="11" t="s">
        <v>26</v>
      </c>
    </row>
    <row r="146" spans="1:17" x14ac:dyDescent="0.25">
      <c r="A146" s="11" t="s">
        <v>425</v>
      </c>
      <c r="B146" s="12">
        <v>45768</v>
      </c>
      <c r="C146" s="11" t="s">
        <v>426</v>
      </c>
      <c r="D146" s="11" t="s">
        <v>427</v>
      </c>
      <c r="E146" s="11" t="s">
        <v>131</v>
      </c>
      <c r="F146" s="11" t="s">
        <v>21</v>
      </c>
      <c r="G146" s="11">
        <v>4</v>
      </c>
      <c r="H146" s="11">
        <v>1600</v>
      </c>
      <c r="I146" s="11">
        <v>0.1</v>
      </c>
      <c r="J146" s="11">
        <v>5760</v>
      </c>
      <c r="K146" s="11">
        <v>4792.83</v>
      </c>
      <c r="L146" s="11">
        <v>967.17</v>
      </c>
      <c r="M146" s="11" t="s">
        <v>43</v>
      </c>
      <c r="N146" s="11" t="s">
        <v>44</v>
      </c>
      <c r="O146" s="11" t="s">
        <v>32</v>
      </c>
      <c r="P146" s="11" t="s">
        <v>25</v>
      </c>
      <c r="Q146" s="11" t="s">
        <v>26</v>
      </c>
    </row>
    <row r="147" spans="1:17" x14ac:dyDescent="0.25">
      <c r="A147" s="11" t="s">
        <v>428</v>
      </c>
      <c r="B147" s="12">
        <v>45860</v>
      </c>
      <c r="C147" s="11" t="s">
        <v>429</v>
      </c>
      <c r="D147" s="11" t="s">
        <v>430</v>
      </c>
      <c r="E147" s="11" t="s">
        <v>103</v>
      </c>
      <c r="F147" s="11" t="s">
        <v>42</v>
      </c>
      <c r="G147" s="11">
        <v>1</v>
      </c>
      <c r="H147" s="11">
        <v>6000</v>
      </c>
      <c r="I147" s="13">
        <v>0.05</v>
      </c>
      <c r="J147" s="11">
        <v>5700</v>
      </c>
      <c r="K147" s="11">
        <v>4182.1000000000004</v>
      </c>
      <c r="L147" s="11">
        <v>1517.9</v>
      </c>
      <c r="M147" s="11" t="s">
        <v>99</v>
      </c>
      <c r="N147" s="11" t="s">
        <v>71</v>
      </c>
      <c r="O147" s="11" t="s">
        <v>32</v>
      </c>
      <c r="P147" s="11" t="s">
        <v>95</v>
      </c>
      <c r="Q147" s="11" t="s">
        <v>26</v>
      </c>
    </row>
    <row r="148" spans="1:17" x14ac:dyDescent="0.25">
      <c r="A148" s="11" t="s">
        <v>431</v>
      </c>
      <c r="B148" s="12">
        <v>45661</v>
      </c>
      <c r="C148" s="11" t="s">
        <v>375</v>
      </c>
      <c r="D148" s="11" t="s">
        <v>376</v>
      </c>
      <c r="E148" s="11" t="s">
        <v>103</v>
      </c>
      <c r="F148" s="11" t="s">
        <v>42</v>
      </c>
      <c r="G148" s="11">
        <v>3</v>
      </c>
      <c r="H148" s="11">
        <v>6000</v>
      </c>
      <c r="I148" s="13">
        <v>0</v>
      </c>
      <c r="J148" s="11">
        <v>18000</v>
      </c>
      <c r="K148" s="11">
        <v>13482.91</v>
      </c>
      <c r="L148" s="11">
        <v>4517.09</v>
      </c>
      <c r="M148" s="11" t="s">
        <v>70</v>
      </c>
      <c r="N148" s="11" t="s">
        <v>71</v>
      </c>
      <c r="O148" s="11" t="s">
        <v>24</v>
      </c>
      <c r="P148" s="11" t="s">
        <v>37</v>
      </c>
      <c r="Q148" s="11" t="s">
        <v>47</v>
      </c>
    </row>
    <row r="149" spans="1:17" x14ac:dyDescent="0.25">
      <c r="A149" s="11" t="s">
        <v>432</v>
      </c>
      <c r="B149" s="12">
        <v>46000</v>
      </c>
      <c r="C149" s="11" t="s">
        <v>152</v>
      </c>
      <c r="D149" s="11" t="s">
        <v>153</v>
      </c>
      <c r="E149" s="11" t="s">
        <v>116</v>
      </c>
      <c r="F149" s="11" t="s">
        <v>94</v>
      </c>
      <c r="G149" s="11">
        <v>5</v>
      </c>
      <c r="H149" s="11">
        <v>1800</v>
      </c>
      <c r="I149" s="11">
        <v>0.2</v>
      </c>
      <c r="J149" s="11">
        <v>7200</v>
      </c>
      <c r="K149" s="11">
        <v>6671.94</v>
      </c>
      <c r="L149" s="11">
        <v>528.05999999999995</v>
      </c>
      <c r="M149" s="11" t="s">
        <v>59</v>
      </c>
      <c r="N149" s="11" t="s">
        <v>59</v>
      </c>
      <c r="O149" s="11" t="s">
        <v>24</v>
      </c>
      <c r="P149" s="11" t="s">
        <v>55</v>
      </c>
      <c r="Q149" s="11" t="s">
        <v>26</v>
      </c>
    </row>
    <row r="150" spans="1:17" x14ac:dyDescent="0.25">
      <c r="A150" s="11" t="s">
        <v>433</v>
      </c>
      <c r="B150" s="12">
        <v>45818</v>
      </c>
      <c r="C150" s="11" t="s">
        <v>434</v>
      </c>
      <c r="D150" s="11" t="s">
        <v>435</v>
      </c>
      <c r="E150" s="11" t="s">
        <v>158</v>
      </c>
      <c r="F150" s="11" t="s">
        <v>21</v>
      </c>
      <c r="G150" s="11">
        <v>4</v>
      </c>
      <c r="H150" s="11">
        <v>55000</v>
      </c>
      <c r="I150" s="11">
        <v>0</v>
      </c>
      <c r="J150" s="11">
        <v>220000</v>
      </c>
      <c r="K150" s="11">
        <v>163463.79999999999</v>
      </c>
      <c r="L150" s="11">
        <v>56536.2</v>
      </c>
      <c r="M150" s="11" t="s">
        <v>75</v>
      </c>
      <c r="N150" s="11" t="s">
        <v>76</v>
      </c>
      <c r="O150" s="11" t="s">
        <v>45</v>
      </c>
      <c r="P150" s="11" t="s">
        <v>37</v>
      </c>
      <c r="Q150" s="11" t="s">
        <v>26</v>
      </c>
    </row>
    <row r="151" spans="1:17" x14ac:dyDescent="0.25">
      <c r="A151" s="11" t="s">
        <v>436</v>
      </c>
      <c r="B151" s="12">
        <v>45824</v>
      </c>
      <c r="C151" s="11" t="s">
        <v>437</v>
      </c>
      <c r="D151" s="11" t="s">
        <v>438</v>
      </c>
      <c r="E151" s="11" t="s">
        <v>20</v>
      </c>
      <c r="F151" s="11" t="s">
        <v>21</v>
      </c>
      <c r="G151" s="11">
        <v>4</v>
      </c>
      <c r="H151" s="11">
        <v>4500</v>
      </c>
      <c r="I151" s="11">
        <v>0</v>
      </c>
      <c r="J151" s="11">
        <v>18000</v>
      </c>
      <c r="K151" s="11">
        <v>15623.12</v>
      </c>
      <c r="L151" s="11">
        <v>2376.88</v>
      </c>
      <c r="M151" s="11" t="s">
        <v>80</v>
      </c>
      <c r="N151" s="11" t="s">
        <v>81</v>
      </c>
      <c r="O151" s="11" t="s">
        <v>45</v>
      </c>
      <c r="P151" s="11" t="s">
        <v>46</v>
      </c>
      <c r="Q151" s="11" t="s">
        <v>26</v>
      </c>
    </row>
    <row r="152" spans="1:17" x14ac:dyDescent="0.25">
      <c r="A152" s="11" t="s">
        <v>439</v>
      </c>
      <c r="B152" s="12">
        <v>45881</v>
      </c>
      <c r="C152" s="11" t="s">
        <v>440</v>
      </c>
      <c r="D152" s="11" t="s">
        <v>441</v>
      </c>
      <c r="E152" s="11" t="s">
        <v>30</v>
      </c>
      <c r="F152" s="11" t="s">
        <v>31</v>
      </c>
      <c r="G152" s="11">
        <v>1</v>
      </c>
      <c r="H152" s="11">
        <v>1200</v>
      </c>
      <c r="I152" s="11">
        <v>0.05</v>
      </c>
      <c r="J152" s="11">
        <v>1140</v>
      </c>
      <c r="K152" s="11">
        <v>801.71</v>
      </c>
      <c r="L152" s="11">
        <v>338.29</v>
      </c>
      <c r="M152" s="11" t="s">
        <v>75</v>
      </c>
      <c r="N152" s="11" t="s">
        <v>76</v>
      </c>
      <c r="O152" s="11" t="s">
        <v>45</v>
      </c>
      <c r="P152" s="11" t="s">
        <v>46</v>
      </c>
      <c r="Q152" s="11" t="s">
        <v>26</v>
      </c>
    </row>
    <row r="153" spans="1:17" x14ac:dyDescent="0.25">
      <c r="A153" s="11" t="s">
        <v>442</v>
      </c>
      <c r="B153" s="12">
        <v>45919</v>
      </c>
      <c r="C153" s="11" t="s">
        <v>105</v>
      </c>
      <c r="D153" s="11" t="s">
        <v>106</v>
      </c>
      <c r="E153" s="11" t="s">
        <v>66</v>
      </c>
      <c r="F153" s="11" t="s">
        <v>31</v>
      </c>
      <c r="G153" s="11">
        <v>2</v>
      </c>
      <c r="H153" s="11">
        <v>3500</v>
      </c>
      <c r="I153" s="11">
        <v>0</v>
      </c>
      <c r="J153" s="11">
        <v>7000</v>
      </c>
      <c r="K153" s="11">
        <v>5371.02</v>
      </c>
      <c r="L153" s="11">
        <v>1628.98</v>
      </c>
      <c r="M153" s="11" t="s">
        <v>43</v>
      </c>
      <c r="N153" s="11" t="s">
        <v>44</v>
      </c>
      <c r="O153" s="11" t="s">
        <v>32</v>
      </c>
      <c r="P153" s="11" t="s">
        <v>46</v>
      </c>
      <c r="Q153" s="11" t="s">
        <v>60</v>
      </c>
    </row>
    <row r="154" spans="1:17" x14ac:dyDescent="0.25">
      <c r="A154" s="11" t="s">
        <v>443</v>
      </c>
      <c r="B154" s="12">
        <v>45732</v>
      </c>
      <c r="C154" s="11" t="s">
        <v>444</v>
      </c>
      <c r="D154" s="11" t="s">
        <v>445</v>
      </c>
      <c r="E154" s="11" t="s">
        <v>107</v>
      </c>
      <c r="F154" s="11" t="s">
        <v>108</v>
      </c>
      <c r="G154" s="11">
        <v>2</v>
      </c>
      <c r="H154" s="11">
        <v>1400</v>
      </c>
      <c r="I154" s="13">
        <v>0</v>
      </c>
      <c r="J154" s="11">
        <v>2800</v>
      </c>
      <c r="K154" s="11">
        <v>1931.73</v>
      </c>
      <c r="L154" s="11">
        <v>868.27</v>
      </c>
      <c r="M154" s="11" t="s">
        <v>36</v>
      </c>
      <c r="N154" s="11" t="s">
        <v>23</v>
      </c>
      <c r="O154" s="11" t="s">
        <v>24</v>
      </c>
      <c r="P154" s="11" t="s">
        <v>55</v>
      </c>
      <c r="Q154" s="11" t="s">
        <v>26</v>
      </c>
    </row>
    <row r="155" spans="1:17" x14ac:dyDescent="0.25">
      <c r="A155" s="11" t="s">
        <v>446</v>
      </c>
      <c r="B155" s="12">
        <v>45954</v>
      </c>
      <c r="C155" s="11" t="s">
        <v>447</v>
      </c>
      <c r="D155" s="11" t="s">
        <v>448</v>
      </c>
      <c r="E155" s="11" t="s">
        <v>123</v>
      </c>
      <c r="F155" s="11" t="s">
        <v>21</v>
      </c>
      <c r="G155" s="11">
        <v>4</v>
      </c>
      <c r="H155" s="11">
        <v>2200</v>
      </c>
      <c r="I155" s="11">
        <v>0.2</v>
      </c>
      <c r="J155" s="11">
        <v>7040</v>
      </c>
      <c r="K155" s="11">
        <v>7590.49</v>
      </c>
      <c r="L155" s="11">
        <v>-550.49</v>
      </c>
      <c r="M155" s="11" t="s">
        <v>70</v>
      </c>
      <c r="N155" s="11" t="s">
        <v>71</v>
      </c>
      <c r="O155" s="11" t="s">
        <v>45</v>
      </c>
      <c r="P155" s="11" t="s">
        <v>25</v>
      </c>
      <c r="Q155" s="11" t="s">
        <v>26</v>
      </c>
    </row>
    <row r="156" spans="1:17" x14ac:dyDescent="0.25">
      <c r="A156" s="11" t="s">
        <v>449</v>
      </c>
      <c r="B156" s="12">
        <v>45692</v>
      </c>
      <c r="C156" s="11" t="s">
        <v>450</v>
      </c>
      <c r="D156" s="11" t="s">
        <v>451</v>
      </c>
      <c r="E156" s="11" t="s">
        <v>66</v>
      </c>
      <c r="F156" s="11" t="s">
        <v>31</v>
      </c>
      <c r="G156" s="11">
        <v>2</v>
      </c>
      <c r="H156" s="11">
        <v>3500</v>
      </c>
      <c r="I156" s="11">
        <v>0.15</v>
      </c>
      <c r="J156" s="11">
        <v>5950</v>
      </c>
      <c r="K156" s="11">
        <v>5566.53</v>
      </c>
      <c r="L156" s="11">
        <v>383.47</v>
      </c>
      <c r="M156" s="11" t="s">
        <v>70</v>
      </c>
      <c r="N156" s="11" t="s">
        <v>71</v>
      </c>
      <c r="O156" s="11" t="s">
        <v>45</v>
      </c>
      <c r="P156" s="11" t="s">
        <v>25</v>
      </c>
      <c r="Q156" s="11" t="s">
        <v>26</v>
      </c>
    </row>
    <row r="157" spans="1:17" x14ac:dyDescent="0.25">
      <c r="A157" s="11" t="s">
        <v>452</v>
      </c>
      <c r="B157" s="12">
        <v>45816</v>
      </c>
      <c r="C157" s="11" t="s">
        <v>217</v>
      </c>
      <c r="D157" s="11" t="s">
        <v>218</v>
      </c>
      <c r="E157" s="11" t="s">
        <v>54</v>
      </c>
      <c r="F157" s="11" t="s">
        <v>31</v>
      </c>
      <c r="G157" s="11">
        <v>5</v>
      </c>
      <c r="H157" s="11">
        <v>2800</v>
      </c>
      <c r="I157" s="11">
        <v>0</v>
      </c>
      <c r="J157" s="11">
        <v>14000</v>
      </c>
      <c r="K157" s="11">
        <v>9221.1</v>
      </c>
      <c r="L157" s="11">
        <v>4778.8999999999996</v>
      </c>
      <c r="M157" s="11" t="s">
        <v>70</v>
      </c>
      <c r="N157" s="11" t="s">
        <v>71</v>
      </c>
      <c r="O157" s="11" t="s">
        <v>24</v>
      </c>
      <c r="P157" s="11" t="s">
        <v>46</v>
      </c>
      <c r="Q157" s="11" t="s">
        <v>26</v>
      </c>
    </row>
    <row r="158" spans="1:17" x14ac:dyDescent="0.25">
      <c r="A158" s="11" t="s">
        <v>453</v>
      </c>
      <c r="B158" s="12">
        <v>45917</v>
      </c>
      <c r="C158" s="11" t="s">
        <v>454</v>
      </c>
      <c r="D158" s="11" t="s">
        <v>455</v>
      </c>
      <c r="E158" s="11" t="s">
        <v>62</v>
      </c>
      <c r="F158" s="11" t="s">
        <v>21</v>
      </c>
      <c r="G158" s="11">
        <v>5</v>
      </c>
      <c r="H158" s="11">
        <v>1800</v>
      </c>
      <c r="I158" s="11">
        <v>0.2</v>
      </c>
      <c r="J158" s="11">
        <v>7200</v>
      </c>
      <c r="K158" s="11">
        <v>7051.28</v>
      </c>
      <c r="L158" s="11">
        <v>148.72</v>
      </c>
      <c r="M158" s="11" t="s">
        <v>75</v>
      </c>
      <c r="N158" s="11" t="s">
        <v>76</v>
      </c>
      <c r="O158" s="11" t="s">
        <v>32</v>
      </c>
      <c r="P158" s="11" t="s">
        <v>55</v>
      </c>
      <c r="Q158" s="11" t="s">
        <v>26</v>
      </c>
    </row>
    <row r="159" spans="1:17" x14ac:dyDescent="0.25">
      <c r="A159" s="11" t="s">
        <v>456</v>
      </c>
      <c r="B159" s="12">
        <v>45901</v>
      </c>
      <c r="C159" s="11" t="s">
        <v>457</v>
      </c>
      <c r="D159" s="11" t="s">
        <v>458</v>
      </c>
      <c r="E159" s="11" t="s">
        <v>112</v>
      </c>
      <c r="F159" s="11" t="s">
        <v>94</v>
      </c>
      <c r="G159" s="11">
        <v>3</v>
      </c>
      <c r="H159" s="11">
        <v>800</v>
      </c>
      <c r="I159" s="13">
        <v>0.2</v>
      </c>
      <c r="J159" s="11">
        <v>1920</v>
      </c>
      <c r="K159" s="11">
        <v>1594.15</v>
      </c>
      <c r="L159" s="11">
        <v>325.85000000000002</v>
      </c>
      <c r="M159" s="11" t="s">
        <v>80</v>
      </c>
      <c r="N159" s="11" t="s">
        <v>81</v>
      </c>
      <c r="O159" s="11" t="s">
        <v>45</v>
      </c>
      <c r="P159" s="11" t="s">
        <v>46</v>
      </c>
      <c r="Q159" s="11" t="s">
        <v>60</v>
      </c>
    </row>
    <row r="160" spans="1:17" x14ac:dyDescent="0.25">
      <c r="A160" s="11" t="s">
        <v>459</v>
      </c>
      <c r="B160" s="12">
        <v>45678</v>
      </c>
      <c r="C160" s="11" t="s">
        <v>257</v>
      </c>
      <c r="D160" s="11" t="s">
        <v>258</v>
      </c>
      <c r="E160" s="11" t="s">
        <v>62</v>
      </c>
      <c r="F160" s="11" t="s">
        <v>21</v>
      </c>
      <c r="G160" s="11">
        <v>5</v>
      </c>
      <c r="H160" s="11">
        <v>1800</v>
      </c>
      <c r="I160" s="11">
        <v>0.05</v>
      </c>
      <c r="J160" s="11">
        <v>8550</v>
      </c>
      <c r="K160" s="11">
        <v>6756.16</v>
      </c>
      <c r="L160" s="11">
        <v>1793.84</v>
      </c>
      <c r="M160" s="11" t="s">
        <v>22</v>
      </c>
      <c r="N160" s="11" t="s">
        <v>23</v>
      </c>
      <c r="O160" s="11" t="s">
        <v>24</v>
      </c>
      <c r="P160" s="11" t="s">
        <v>25</v>
      </c>
      <c r="Q160" s="11" t="s">
        <v>47</v>
      </c>
    </row>
    <row r="161" spans="1:17" x14ac:dyDescent="0.25">
      <c r="A161" s="11" t="s">
        <v>460</v>
      </c>
      <c r="B161" s="12">
        <v>45802</v>
      </c>
      <c r="C161" s="11" t="s">
        <v>309</v>
      </c>
      <c r="D161" s="11" t="s">
        <v>310</v>
      </c>
      <c r="E161" s="11" t="s">
        <v>93</v>
      </c>
      <c r="F161" s="11" t="s">
        <v>94</v>
      </c>
      <c r="G161" s="11">
        <v>3</v>
      </c>
      <c r="H161" s="11">
        <v>2800</v>
      </c>
      <c r="I161" s="11">
        <v>0.1</v>
      </c>
      <c r="J161" s="11">
        <v>7560</v>
      </c>
      <c r="K161" s="11">
        <v>6956.27</v>
      </c>
      <c r="L161" s="11">
        <v>603.73</v>
      </c>
      <c r="M161" s="11" t="s">
        <v>75</v>
      </c>
      <c r="N161" s="11" t="s">
        <v>76</v>
      </c>
      <c r="O161" s="11" t="s">
        <v>24</v>
      </c>
      <c r="P161" s="11" t="s">
        <v>25</v>
      </c>
      <c r="Q161" s="11" t="s">
        <v>26</v>
      </c>
    </row>
    <row r="162" spans="1:17" x14ac:dyDescent="0.25">
      <c r="A162" s="11" t="s">
        <v>461</v>
      </c>
      <c r="B162" s="12">
        <v>45706</v>
      </c>
      <c r="C162" s="11" t="s">
        <v>462</v>
      </c>
      <c r="D162" s="11" t="s">
        <v>463</v>
      </c>
      <c r="E162" s="11" t="s">
        <v>66</v>
      </c>
      <c r="F162" s="11" t="s">
        <v>31</v>
      </c>
      <c r="G162" s="11">
        <v>1</v>
      </c>
      <c r="H162" s="11">
        <v>3500</v>
      </c>
      <c r="I162" s="11">
        <v>0.1</v>
      </c>
      <c r="J162" s="11">
        <v>3150</v>
      </c>
      <c r="K162" s="11">
        <v>2477.86</v>
      </c>
      <c r="L162" s="11">
        <v>672.14</v>
      </c>
      <c r="M162" s="11" t="s">
        <v>75</v>
      </c>
      <c r="N162" s="11" t="s">
        <v>76</v>
      </c>
      <c r="O162" s="11" t="s">
        <v>24</v>
      </c>
      <c r="P162" s="11" t="s">
        <v>25</v>
      </c>
      <c r="Q162" s="11" t="s">
        <v>26</v>
      </c>
    </row>
    <row r="163" spans="1:17" x14ac:dyDescent="0.25">
      <c r="A163" s="11" t="s">
        <v>464</v>
      </c>
      <c r="B163" s="12">
        <v>45997</v>
      </c>
      <c r="C163" s="11" t="s">
        <v>382</v>
      </c>
      <c r="D163" s="11" t="s">
        <v>383</v>
      </c>
      <c r="E163" s="11" t="s">
        <v>66</v>
      </c>
      <c r="F163" s="11" t="s">
        <v>31</v>
      </c>
      <c r="G163" s="11">
        <v>1</v>
      </c>
      <c r="H163" s="11">
        <v>3500</v>
      </c>
      <c r="I163" s="11">
        <v>0.2</v>
      </c>
      <c r="J163" s="11">
        <v>2800</v>
      </c>
      <c r="K163" s="11">
        <v>2556.61</v>
      </c>
      <c r="L163" s="11">
        <v>243.39</v>
      </c>
      <c r="M163" s="11" t="s">
        <v>80</v>
      </c>
      <c r="N163" s="11" t="s">
        <v>81</v>
      </c>
      <c r="O163" s="11" t="s">
        <v>24</v>
      </c>
      <c r="P163" s="11" t="s">
        <v>37</v>
      </c>
      <c r="Q163" s="11" t="s">
        <v>26</v>
      </c>
    </row>
    <row r="164" spans="1:17" x14ac:dyDescent="0.25">
      <c r="A164" s="11" t="s">
        <v>465</v>
      </c>
      <c r="B164" s="12">
        <v>45850</v>
      </c>
      <c r="C164" s="11" t="s">
        <v>312</v>
      </c>
      <c r="D164" s="11" t="s">
        <v>313</v>
      </c>
      <c r="E164" s="11" t="s">
        <v>62</v>
      </c>
      <c r="F164" s="11" t="s">
        <v>21</v>
      </c>
      <c r="G164" s="11">
        <v>3</v>
      </c>
      <c r="H164" s="11">
        <v>1800</v>
      </c>
      <c r="I164" s="11">
        <v>0.2</v>
      </c>
      <c r="J164" s="11">
        <v>4320</v>
      </c>
      <c r="K164" s="11">
        <v>3668.72</v>
      </c>
      <c r="L164" s="11">
        <v>651.28</v>
      </c>
      <c r="M164" s="11" t="s">
        <v>59</v>
      </c>
      <c r="N164" s="11" t="s">
        <v>59</v>
      </c>
      <c r="O164" s="11" t="s">
        <v>32</v>
      </c>
      <c r="P164" s="11" t="s">
        <v>25</v>
      </c>
      <c r="Q164" s="11" t="s">
        <v>26</v>
      </c>
    </row>
    <row r="165" spans="1:17" x14ac:dyDescent="0.25">
      <c r="A165" s="11" t="s">
        <v>466</v>
      </c>
      <c r="B165" s="12">
        <v>45667</v>
      </c>
      <c r="C165" s="11" t="s">
        <v>467</v>
      </c>
      <c r="D165" s="11" t="s">
        <v>468</v>
      </c>
      <c r="E165" s="11" t="s">
        <v>30</v>
      </c>
      <c r="F165" s="11" t="s">
        <v>31</v>
      </c>
      <c r="G165" s="11">
        <v>5</v>
      </c>
      <c r="H165" s="11">
        <v>1200</v>
      </c>
      <c r="I165" s="13">
        <v>0.1</v>
      </c>
      <c r="J165" s="11">
        <v>5400</v>
      </c>
      <c r="K165" s="11">
        <v>4148.76</v>
      </c>
      <c r="L165" s="11">
        <v>1251.24</v>
      </c>
      <c r="M165" s="11" t="s">
        <v>59</v>
      </c>
      <c r="N165" s="11" t="s">
        <v>59</v>
      </c>
      <c r="O165" s="11" t="s">
        <v>32</v>
      </c>
      <c r="P165" s="11" t="s">
        <v>46</v>
      </c>
      <c r="Q165" s="11" t="s">
        <v>26</v>
      </c>
    </row>
    <row r="166" spans="1:17" x14ac:dyDescent="0.25">
      <c r="A166" s="11" t="s">
        <v>469</v>
      </c>
      <c r="B166" s="12">
        <v>45737</v>
      </c>
      <c r="C166" s="11" t="s">
        <v>470</v>
      </c>
      <c r="D166" s="11" t="s">
        <v>471</v>
      </c>
      <c r="E166" s="11" t="s">
        <v>112</v>
      </c>
      <c r="F166" s="11" t="s">
        <v>94</v>
      </c>
      <c r="G166" s="11">
        <v>2</v>
      </c>
      <c r="H166" s="11">
        <v>800</v>
      </c>
      <c r="I166" s="13">
        <v>0.05</v>
      </c>
      <c r="J166" s="11">
        <v>1520</v>
      </c>
      <c r="K166" s="11">
        <v>1350.75</v>
      </c>
      <c r="L166" s="11">
        <v>169.25</v>
      </c>
      <c r="M166" s="11" t="s">
        <v>43</v>
      </c>
      <c r="N166" s="11" t="s">
        <v>44</v>
      </c>
      <c r="O166" s="11" t="s">
        <v>24</v>
      </c>
      <c r="P166" s="11" t="s">
        <v>25</v>
      </c>
      <c r="Q166" s="11" t="s">
        <v>47</v>
      </c>
    </row>
    <row r="167" spans="1:17" x14ac:dyDescent="0.25">
      <c r="A167" s="11" t="s">
        <v>472</v>
      </c>
      <c r="B167" s="12">
        <v>45725</v>
      </c>
      <c r="C167" s="11" t="s">
        <v>136</v>
      </c>
      <c r="D167" s="11" t="s">
        <v>137</v>
      </c>
      <c r="E167" s="11" t="s">
        <v>141</v>
      </c>
      <c r="F167" s="11" t="s">
        <v>21</v>
      </c>
      <c r="G167" s="11">
        <v>3</v>
      </c>
      <c r="H167" s="11">
        <v>22000</v>
      </c>
      <c r="I167" s="11">
        <v>0.2</v>
      </c>
      <c r="J167" s="11">
        <v>52800</v>
      </c>
      <c r="K167" s="11">
        <v>45362.91</v>
      </c>
      <c r="L167" s="11">
        <v>7437.09</v>
      </c>
      <c r="M167" s="11" t="s">
        <v>75</v>
      </c>
      <c r="N167" s="11" t="s">
        <v>76</v>
      </c>
      <c r="O167" s="11" t="s">
        <v>45</v>
      </c>
      <c r="P167" s="11" t="s">
        <v>25</v>
      </c>
      <c r="Q167" s="11" t="s">
        <v>26</v>
      </c>
    </row>
    <row r="168" spans="1:17" x14ac:dyDescent="0.25">
      <c r="A168" s="11" t="s">
        <v>473</v>
      </c>
      <c r="B168" s="12">
        <v>45844</v>
      </c>
      <c r="C168" s="11" t="s">
        <v>83</v>
      </c>
      <c r="D168" s="11" t="s">
        <v>84</v>
      </c>
      <c r="E168" s="11" t="s">
        <v>131</v>
      </c>
      <c r="F168" s="11" t="s">
        <v>21</v>
      </c>
      <c r="G168" s="11">
        <v>1</v>
      </c>
      <c r="H168" s="11">
        <v>1600</v>
      </c>
      <c r="I168" s="11">
        <v>0.15</v>
      </c>
      <c r="J168" s="11">
        <v>1360</v>
      </c>
      <c r="K168" s="11">
        <v>1203.47</v>
      </c>
      <c r="L168" s="11">
        <v>156.53</v>
      </c>
      <c r="M168" s="11" t="s">
        <v>22</v>
      </c>
      <c r="N168" s="11" t="s">
        <v>23</v>
      </c>
      <c r="O168" s="11" t="s">
        <v>45</v>
      </c>
      <c r="P168" s="11" t="s">
        <v>37</v>
      </c>
      <c r="Q168" s="11" t="s">
        <v>26</v>
      </c>
    </row>
    <row r="169" spans="1:17" x14ac:dyDescent="0.25">
      <c r="A169" s="11" t="s">
        <v>474</v>
      </c>
      <c r="B169" s="12">
        <v>45757</v>
      </c>
      <c r="C169" s="11" t="s">
        <v>182</v>
      </c>
      <c r="D169" s="11" t="s">
        <v>183</v>
      </c>
      <c r="E169" s="11" t="s">
        <v>116</v>
      </c>
      <c r="F169" s="11" t="s">
        <v>94</v>
      </c>
      <c r="G169" s="11">
        <v>3</v>
      </c>
      <c r="H169" s="11">
        <v>1800</v>
      </c>
      <c r="I169" s="11">
        <v>0.15</v>
      </c>
      <c r="J169" s="11">
        <v>4590</v>
      </c>
      <c r="K169" s="11">
        <v>4686.34</v>
      </c>
      <c r="L169" s="11">
        <v>-96.34</v>
      </c>
      <c r="M169" s="11" t="s">
        <v>59</v>
      </c>
      <c r="N169" s="11" t="s">
        <v>59</v>
      </c>
      <c r="O169" s="11" t="s">
        <v>24</v>
      </c>
      <c r="P169" s="11" t="s">
        <v>37</v>
      </c>
      <c r="Q169" s="11" t="s">
        <v>26</v>
      </c>
    </row>
    <row r="170" spans="1:17" x14ac:dyDescent="0.25">
      <c r="A170" s="11" t="s">
        <v>475</v>
      </c>
      <c r="B170" s="12">
        <v>45872</v>
      </c>
      <c r="C170" s="11" t="s">
        <v>476</v>
      </c>
      <c r="D170" s="11" t="s">
        <v>477</v>
      </c>
      <c r="E170" s="11" t="s">
        <v>85</v>
      </c>
      <c r="F170" s="11" t="s">
        <v>86</v>
      </c>
      <c r="G170" s="11">
        <v>5</v>
      </c>
      <c r="H170" s="11">
        <v>450</v>
      </c>
      <c r="I170" s="11">
        <v>0.2</v>
      </c>
      <c r="J170" s="11">
        <v>1800</v>
      </c>
      <c r="K170" s="11">
        <v>1565.84</v>
      </c>
      <c r="L170" s="11">
        <v>234.16</v>
      </c>
      <c r="M170" s="11" t="s">
        <v>80</v>
      </c>
      <c r="N170" s="11" t="s">
        <v>81</v>
      </c>
      <c r="O170" s="11" t="s">
        <v>32</v>
      </c>
      <c r="P170" s="11" t="s">
        <v>95</v>
      </c>
      <c r="Q170" s="11" t="s">
        <v>26</v>
      </c>
    </row>
    <row r="171" spans="1:17" x14ac:dyDescent="0.25">
      <c r="A171" s="11" t="s">
        <v>478</v>
      </c>
      <c r="B171" s="12">
        <v>45941</v>
      </c>
      <c r="C171" s="11" t="s">
        <v>220</v>
      </c>
      <c r="D171" s="11" t="s">
        <v>221</v>
      </c>
      <c r="E171" s="11" t="s">
        <v>141</v>
      </c>
      <c r="F171" s="11" t="s">
        <v>21</v>
      </c>
      <c r="G171" s="11">
        <v>4</v>
      </c>
      <c r="H171" s="11">
        <v>22000</v>
      </c>
      <c r="I171" s="13">
        <v>0.1</v>
      </c>
      <c r="J171" s="11">
        <v>79200</v>
      </c>
      <c r="K171" s="11">
        <v>74320.86</v>
      </c>
      <c r="L171" s="11">
        <v>4879.1400000000003</v>
      </c>
      <c r="M171" s="11" t="s">
        <v>43</v>
      </c>
      <c r="N171" s="11" t="s">
        <v>44</v>
      </c>
      <c r="O171" s="11" t="s">
        <v>32</v>
      </c>
      <c r="P171" s="11" t="s">
        <v>46</v>
      </c>
      <c r="Q171" s="11" t="s">
        <v>26</v>
      </c>
    </row>
    <row r="172" spans="1:17" x14ac:dyDescent="0.25">
      <c r="A172" s="11" t="s">
        <v>479</v>
      </c>
      <c r="B172" s="12">
        <v>45920</v>
      </c>
      <c r="C172" s="11" t="s">
        <v>163</v>
      </c>
      <c r="D172" s="11" t="s">
        <v>164</v>
      </c>
      <c r="E172" s="11" t="s">
        <v>93</v>
      </c>
      <c r="F172" s="11" t="s">
        <v>94</v>
      </c>
      <c r="G172" s="11">
        <v>3</v>
      </c>
      <c r="H172" s="11">
        <v>2800</v>
      </c>
      <c r="I172" s="13">
        <v>0.15</v>
      </c>
      <c r="J172" s="11">
        <v>7140</v>
      </c>
      <c r="K172" s="11">
        <v>6305.2</v>
      </c>
      <c r="L172" s="11">
        <v>834.8</v>
      </c>
      <c r="M172" s="11" t="s">
        <v>80</v>
      </c>
      <c r="N172" s="11" t="s">
        <v>81</v>
      </c>
      <c r="O172" s="11" t="s">
        <v>32</v>
      </c>
      <c r="P172" s="11" t="s">
        <v>37</v>
      </c>
      <c r="Q172" s="11" t="s">
        <v>26</v>
      </c>
    </row>
    <row r="173" spans="1:17" x14ac:dyDescent="0.25">
      <c r="A173" s="11" t="s">
        <v>480</v>
      </c>
      <c r="B173" s="12">
        <v>45860</v>
      </c>
      <c r="C173" s="11" t="s">
        <v>362</v>
      </c>
      <c r="D173" s="11" t="s">
        <v>363</v>
      </c>
      <c r="E173" s="11" t="s">
        <v>158</v>
      </c>
      <c r="F173" s="11" t="s">
        <v>21</v>
      </c>
      <c r="G173" s="11">
        <v>4</v>
      </c>
      <c r="H173" s="11">
        <v>55000</v>
      </c>
      <c r="I173" s="13">
        <v>0</v>
      </c>
      <c r="J173" s="11">
        <v>220000</v>
      </c>
      <c r="K173" s="11">
        <v>162540.01</v>
      </c>
      <c r="L173" s="11">
        <v>57459.99</v>
      </c>
      <c r="M173" s="11" t="s">
        <v>59</v>
      </c>
      <c r="N173" s="11" t="s">
        <v>59</v>
      </c>
      <c r="O173" s="11" t="s">
        <v>32</v>
      </c>
      <c r="P173" s="11" t="s">
        <v>46</v>
      </c>
      <c r="Q173" s="11" t="s">
        <v>26</v>
      </c>
    </row>
    <row r="174" spans="1:17" x14ac:dyDescent="0.25">
      <c r="A174" s="11" t="s">
        <v>481</v>
      </c>
      <c r="B174" s="12">
        <v>45990</v>
      </c>
      <c r="C174" s="11" t="s">
        <v>78</v>
      </c>
      <c r="D174" s="11" t="s">
        <v>79</v>
      </c>
      <c r="E174" s="11" t="s">
        <v>158</v>
      </c>
      <c r="F174" s="11" t="s">
        <v>21</v>
      </c>
      <c r="G174" s="11">
        <v>3</v>
      </c>
      <c r="H174" s="11">
        <v>55000</v>
      </c>
      <c r="I174" s="13">
        <v>0</v>
      </c>
      <c r="J174" s="11">
        <v>165000</v>
      </c>
      <c r="K174" s="11">
        <v>112792.57</v>
      </c>
      <c r="L174" s="11">
        <v>52207.43</v>
      </c>
      <c r="M174" s="11" t="s">
        <v>59</v>
      </c>
      <c r="N174" s="11" t="s">
        <v>59</v>
      </c>
      <c r="O174" s="11" t="s">
        <v>45</v>
      </c>
      <c r="P174" s="11" t="s">
        <v>46</v>
      </c>
      <c r="Q174" s="11" t="s">
        <v>26</v>
      </c>
    </row>
    <row r="175" spans="1:17" x14ac:dyDescent="0.25">
      <c r="A175" s="11" t="s">
        <v>482</v>
      </c>
      <c r="B175" s="12">
        <v>45973</v>
      </c>
      <c r="C175" s="11" t="s">
        <v>349</v>
      </c>
      <c r="D175" s="11" t="s">
        <v>350</v>
      </c>
      <c r="E175" s="11" t="s">
        <v>107</v>
      </c>
      <c r="F175" s="11" t="s">
        <v>108</v>
      </c>
      <c r="G175" s="11">
        <v>4</v>
      </c>
      <c r="H175" s="11">
        <v>1400</v>
      </c>
      <c r="I175" s="11">
        <v>0.15</v>
      </c>
      <c r="J175" s="11">
        <v>4760</v>
      </c>
      <c r="K175" s="11">
        <v>3742.04</v>
      </c>
      <c r="L175" s="11">
        <v>1017.96</v>
      </c>
      <c r="M175" s="11" t="s">
        <v>99</v>
      </c>
      <c r="N175" s="11" t="s">
        <v>71</v>
      </c>
      <c r="O175" s="11" t="s">
        <v>45</v>
      </c>
      <c r="P175" s="11" t="s">
        <v>95</v>
      </c>
      <c r="Q175" s="11" t="s">
        <v>26</v>
      </c>
    </row>
    <row r="176" spans="1:17" x14ac:dyDescent="0.25">
      <c r="A176" s="11" t="s">
        <v>483</v>
      </c>
      <c r="B176" s="12">
        <v>45779</v>
      </c>
      <c r="C176" s="11" t="s">
        <v>484</v>
      </c>
      <c r="D176" s="11" t="s">
        <v>485</v>
      </c>
      <c r="E176" s="11" t="s">
        <v>30</v>
      </c>
      <c r="F176" s="11" t="s">
        <v>31</v>
      </c>
      <c r="G176" s="11">
        <v>1</v>
      </c>
      <c r="H176" s="11">
        <v>1200</v>
      </c>
      <c r="I176" s="11">
        <v>0.1</v>
      </c>
      <c r="J176" s="11">
        <v>1080</v>
      </c>
      <c r="K176" s="11">
        <v>793.18</v>
      </c>
      <c r="L176" s="11">
        <v>286.82</v>
      </c>
      <c r="M176" s="11" t="s">
        <v>36</v>
      </c>
      <c r="N176" s="11" t="s">
        <v>23</v>
      </c>
      <c r="O176" s="11" t="s">
        <v>32</v>
      </c>
      <c r="P176" s="11" t="s">
        <v>25</v>
      </c>
      <c r="Q176" s="11" t="s">
        <v>26</v>
      </c>
    </row>
    <row r="177" spans="1:17" x14ac:dyDescent="0.25">
      <c r="A177" s="11" t="s">
        <v>486</v>
      </c>
      <c r="B177" s="12">
        <v>45963</v>
      </c>
      <c r="C177" s="11" t="s">
        <v>487</v>
      </c>
      <c r="D177" s="11" t="s">
        <v>488</v>
      </c>
      <c r="E177" s="11" t="s">
        <v>158</v>
      </c>
      <c r="F177" s="11" t="s">
        <v>21</v>
      </c>
      <c r="G177" s="11">
        <v>1</v>
      </c>
      <c r="H177" s="11">
        <v>1800</v>
      </c>
      <c r="I177" s="13">
        <v>0.15</v>
      </c>
      <c r="J177" s="11">
        <v>1530</v>
      </c>
      <c r="K177" s="11">
        <v>1383.37</v>
      </c>
      <c r="L177" s="11">
        <v>146.63</v>
      </c>
      <c r="M177" s="11" t="s">
        <v>99</v>
      </c>
      <c r="N177" s="11" t="s">
        <v>71</v>
      </c>
      <c r="O177" s="11" t="s">
        <v>24</v>
      </c>
      <c r="P177" s="11" t="s">
        <v>95</v>
      </c>
      <c r="Q177" s="11" t="s">
        <v>26</v>
      </c>
    </row>
    <row r="178" spans="1:17" x14ac:dyDescent="0.25">
      <c r="A178" s="11" t="s">
        <v>489</v>
      </c>
      <c r="B178" s="12">
        <v>45838</v>
      </c>
      <c r="C178" s="11" t="s">
        <v>434</v>
      </c>
      <c r="D178" s="11" t="s">
        <v>435</v>
      </c>
      <c r="E178" s="11" t="s">
        <v>30</v>
      </c>
      <c r="F178" s="11" t="s">
        <v>31</v>
      </c>
      <c r="G178" s="11">
        <v>1</v>
      </c>
      <c r="H178" s="11">
        <v>1200</v>
      </c>
      <c r="I178" s="11">
        <v>0.2</v>
      </c>
      <c r="J178" s="11">
        <v>960</v>
      </c>
      <c r="K178" s="11">
        <v>894.97</v>
      </c>
      <c r="L178" s="11">
        <v>65.03</v>
      </c>
      <c r="M178" s="11" t="s">
        <v>22</v>
      </c>
      <c r="N178" s="11" t="s">
        <v>23</v>
      </c>
      <c r="O178" s="11" t="s">
        <v>32</v>
      </c>
      <c r="P178" s="11" t="s">
        <v>55</v>
      </c>
      <c r="Q178" s="11" t="s">
        <v>47</v>
      </c>
    </row>
    <row r="179" spans="1:17" x14ac:dyDescent="0.25">
      <c r="A179" s="11" t="s">
        <v>490</v>
      </c>
      <c r="B179" s="12">
        <v>45936</v>
      </c>
      <c r="C179" s="11" t="s">
        <v>491</v>
      </c>
      <c r="D179" s="11" t="s">
        <v>492</v>
      </c>
      <c r="E179" s="11" t="s">
        <v>54</v>
      </c>
      <c r="F179" s="11" t="s">
        <v>31</v>
      </c>
      <c r="G179" s="11">
        <v>1</v>
      </c>
      <c r="H179" s="11">
        <v>2800</v>
      </c>
      <c r="I179" s="13">
        <v>0.2</v>
      </c>
      <c r="J179" s="11">
        <v>2240</v>
      </c>
      <c r="K179" s="11">
        <v>2382.4299999999998</v>
      </c>
      <c r="L179" s="11">
        <v>-142.43</v>
      </c>
      <c r="M179" s="11" t="s">
        <v>99</v>
      </c>
      <c r="N179" s="11" t="s">
        <v>71</v>
      </c>
      <c r="O179" s="11" t="s">
        <v>24</v>
      </c>
      <c r="P179" s="11" t="s">
        <v>37</v>
      </c>
      <c r="Q179" s="11" t="s">
        <v>26</v>
      </c>
    </row>
    <row r="180" spans="1:17" x14ac:dyDescent="0.25">
      <c r="A180" s="11" t="s">
        <v>493</v>
      </c>
      <c r="B180" s="12">
        <v>45692</v>
      </c>
      <c r="C180" s="11" t="s">
        <v>494</v>
      </c>
      <c r="D180" s="11" t="s">
        <v>495</v>
      </c>
      <c r="E180" s="11" t="s">
        <v>41</v>
      </c>
      <c r="F180" s="11" t="s">
        <v>42</v>
      </c>
      <c r="G180" s="11">
        <v>1</v>
      </c>
      <c r="H180" s="11">
        <v>7500</v>
      </c>
      <c r="I180" s="11">
        <v>0.1</v>
      </c>
      <c r="J180" s="11">
        <v>6750</v>
      </c>
      <c r="K180" s="11">
        <v>6139.32</v>
      </c>
      <c r="L180" s="11">
        <v>610.67999999999995</v>
      </c>
      <c r="M180" s="11" t="s">
        <v>59</v>
      </c>
      <c r="N180" s="11" t="s">
        <v>59</v>
      </c>
      <c r="O180" s="11" t="s">
        <v>24</v>
      </c>
      <c r="P180" s="11" t="s">
        <v>55</v>
      </c>
      <c r="Q180" s="11" t="s">
        <v>47</v>
      </c>
    </row>
    <row r="181" spans="1:17" x14ac:dyDescent="0.25">
      <c r="A181" s="11" t="s">
        <v>496</v>
      </c>
      <c r="B181" s="12">
        <v>45838</v>
      </c>
      <c r="C181" s="11" t="s">
        <v>312</v>
      </c>
      <c r="D181" s="11" t="s">
        <v>313</v>
      </c>
      <c r="E181" s="11" t="s">
        <v>66</v>
      </c>
      <c r="F181" s="11" t="s">
        <v>31</v>
      </c>
      <c r="G181" s="11">
        <v>2</v>
      </c>
      <c r="H181" s="11">
        <v>3500</v>
      </c>
      <c r="I181" s="11">
        <v>0</v>
      </c>
      <c r="J181" s="11">
        <v>7000</v>
      </c>
      <c r="K181" s="11">
        <v>5584.9</v>
      </c>
      <c r="L181" s="11">
        <v>1415.1</v>
      </c>
      <c r="M181" s="11" t="s">
        <v>59</v>
      </c>
      <c r="N181" s="11" t="s">
        <v>59</v>
      </c>
      <c r="O181" s="11" t="s">
        <v>32</v>
      </c>
      <c r="P181" s="11" t="s">
        <v>37</v>
      </c>
      <c r="Q181" s="11" t="s">
        <v>60</v>
      </c>
    </row>
    <row r="182" spans="1:17" x14ac:dyDescent="0.25">
      <c r="A182" s="11" t="s">
        <v>497</v>
      </c>
      <c r="B182" s="12">
        <v>45690</v>
      </c>
      <c r="C182" s="11" t="s">
        <v>185</v>
      </c>
      <c r="D182" s="11" t="s">
        <v>186</v>
      </c>
      <c r="E182" s="11" t="s">
        <v>123</v>
      </c>
      <c r="F182" s="11" t="s">
        <v>21</v>
      </c>
      <c r="G182" s="11">
        <v>2</v>
      </c>
      <c r="H182" s="11">
        <v>2200</v>
      </c>
      <c r="I182" s="13">
        <v>0.05</v>
      </c>
      <c r="J182" s="11">
        <v>4180</v>
      </c>
      <c r="K182" s="11">
        <v>3156.96</v>
      </c>
      <c r="L182" s="11">
        <v>1023.04</v>
      </c>
      <c r="M182" s="11" t="s">
        <v>70</v>
      </c>
      <c r="N182" s="11" t="s">
        <v>71</v>
      </c>
      <c r="O182" s="11" t="s">
        <v>24</v>
      </c>
      <c r="P182" s="11" t="s">
        <v>95</v>
      </c>
      <c r="Q182" s="11" t="s">
        <v>26</v>
      </c>
    </row>
    <row r="183" spans="1:17" x14ac:dyDescent="0.25">
      <c r="A183" s="11" t="s">
        <v>498</v>
      </c>
      <c r="B183" s="12">
        <v>45861</v>
      </c>
      <c r="C183" s="11" t="s">
        <v>499</v>
      </c>
      <c r="D183" s="11" t="s">
        <v>500</v>
      </c>
      <c r="E183" s="11" t="s">
        <v>66</v>
      </c>
      <c r="F183" s="11" t="s">
        <v>31</v>
      </c>
      <c r="G183" s="11">
        <v>3</v>
      </c>
      <c r="H183" s="11">
        <v>3500</v>
      </c>
      <c r="I183" s="11">
        <v>0.2</v>
      </c>
      <c r="J183" s="11">
        <v>8400</v>
      </c>
      <c r="K183" s="11">
        <v>6913.44</v>
      </c>
      <c r="L183" s="11">
        <v>1486.56</v>
      </c>
      <c r="M183" s="11" t="s">
        <v>70</v>
      </c>
      <c r="N183" s="11" t="s">
        <v>71</v>
      </c>
      <c r="O183" s="11" t="s">
        <v>45</v>
      </c>
      <c r="P183" s="11" t="s">
        <v>95</v>
      </c>
      <c r="Q183" s="11" t="s">
        <v>26</v>
      </c>
    </row>
    <row r="184" spans="1:17" x14ac:dyDescent="0.25">
      <c r="A184" s="11" t="s">
        <v>501</v>
      </c>
      <c r="B184" s="12">
        <v>45797</v>
      </c>
      <c r="C184" s="11" t="s">
        <v>502</v>
      </c>
      <c r="D184" s="11" t="s">
        <v>503</v>
      </c>
      <c r="E184" s="11" t="s">
        <v>54</v>
      </c>
      <c r="F184" s="11" t="s">
        <v>31</v>
      </c>
      <c r="G184" s="11">
        <v>1</v>
      </c>
      <c r="H184" s="11">
        <v>2800</v>
      </c>
      <c r="I184" s="11">
        <v>0.1</v>
      </c>
      <c r="J184" s="11">
        <v>2520</v>
      </c>
      <c r="K184" s="11">
        <v>2057</v>
      </c>
      <c r="L184" s="11">
        <v>463</v>
      </c>
      <c r="M184" s="11" t="s">
        <v>43</v>
      </c>
      <c r="N184" s="11" t="s">
        <v>44</v>
      </c>
      <c r="O184" s="11" t="s">
        <v>24</v>
      </c>
      <c r="P184" s="11" t="s">
        <v>37</v>
      </c>
      <c r="Q184" s="11" t="s">
        <v>26</v>
      </c>
    </row>
    <row r="185" spans="1:17" x14ac:dyDescent="0.25">
      <c r="A185" s="11" t="s">
        <v>504</v>
      </c>
      <c r="B185" s="12">
        <v>46012</v>
      </c>
      <c r="C185" s="11" t="s">
        <v>505</v>
      </c>
      <c r="D185" s="11" t="s">
        <v>506</v>
      </c>
      <c r="E185" s="11" t="s">
        <v>66</v>
      </c>
      <c r="F185" s="11" t="s">
        <v>31</v>
      </c>
      <c r="G185" s="11">
        <v>2</v>
      </c>
      <c r="H185" s="11">
        <v>3500</v>
      </c>
      <c r="I185" s="11">
        <v>0.15</v>
      </c>
      <c r="J185" s="11">
        <v>5950</v>
      </c>
      <c r="K185" s="11">
        <v>6038.14</v>
      </c>
      <c r="L185" s="11">
        <v>-88.14</v>
      </c>
      <c r="M185" s="11" t="s">
        <v>70</v>
      </c>
      <c r="N185" s="11" t="s">
        <v>71</v>
      </c>
      <c r="O185" s="11" t="s">
        <v>32</v>
      </c>
      <c r="P185" s="11" t="s">
        <v>46</v>
      </c>
      <c r="Q185" s="11" t="s">
        <v>26</v>
      </c>
    </row>
    <row r="186" spans="1:17" x14ac:dyDescent="0.25">
      <c r="A186" s="11" t="s">
        <v>507</v>
      </c>
      <c r="B186" s="12">
        <v>45966</v>
      </c>
      <c r="C186" s="11" t="s">
        <v>508</v>
      </c>
      <c r="D186" s="11" t="s">
        <v>509</v>
      </c>
      <c r="E186" s="11" t="s">
        <v>30</v>
      </c>
      <c r="F186" s="11" t="s">
        <v>31</v>
      </c>
      <c r="G186" s="11">
        <v>1</v>
      </c>
      <c r="H186" s="11">
        <v>1200</v>
      </c>
      <c r="I186" s="13">
        <v>0.15</v>
      </c>
      <c r="J186" s="11">
        <v>1020</v>
      </c>
      <c r="K186" s="11">
        <v>861.08</v>
      </c>
      <c r="L186" s="11">
        <v>158.91999999999999</v>
      </c>
      <c r="M186" s="11" t="s">
        <v>80</v>
      </c>
      <c r="N186" s="11" t="s">
        <v>81</v>
      </c>
      <c r="O186" s="11" t="s">
        <v>45</v>
      </c>
      <c r="P186" s="11" t="s">
        <v>55</v>
      </c>
      <c r="Q186" s="11" t="s">
        <v>26</v>
      </c>
    </row>
    <row r="187" spans="1:17" x14ac:dyDescent="0.25">
      <c r="A187" s="11" t="s">
        <v>510</v>
      </c>
      <c r="B187" s="12">
        <v>45966</v>
      </c>
      <c r="C187" s="11" t="s">
        <v>133</v>
      </c>
      <c r="D187" s="11" t="s">
        <v>134</v>
      </c>
      <c r="E187" s="11" t="s">
        <v>103</v>
      </c>
      <c r="F187" s="11" t="s">
        <v>42</v>
      </c>
      <c r="G187" s="11">
        <v>3</v>
      </c>
      <c r="H187" s="11">
        <v>6000</v>
      </c>
      <c r="I187" s="11">
        <v>0.15</v>
      </c>
      <c r="J187" s="11">
        <v>15300</v>
      </c>
      <c r="K187" s="11">
        <v>14555.63</v>
      </c>
      <c r="L187" s="11">
        <v>744.37</v>
      </c>
      <c r="M187" s="11" t="s">
        <v>75</v>
      </c>
      <c r="N187" s="11" t="s">
        <v>76</v>
      </c>
      <c r="O187" s="11" t="s">
        <v>45</v>
      </c>
      <c r="P187" s="11" t="s">
        <v>37</v>
      </c>
      <c r="Q187" s="11" t="s">
        <v>26</v>
      </c>
    </row>
    <row r="188" spans="1:17" x14ac:dyDescent="0.25">
      <c r="A188" s="11" t="s">
        <v>511</v>
      </c>
      <c r="B188" s="12">
        <v>45798</v>
      </c>
      <c r="C188" s="11" t="s">
        <v>339</v>
      </c>
      <c r="D188" s="11" t="s">
        <v>340</v>
      </c>
      <c r="E188" s="11" t="s">
        <v>54</v>
      </c>
      <c r="F188" s="11" t="s">
        <v>31</v>
      </c>
      <c r="G188" s="11">
        <v>5</v>
      </c>
      <c r="H188" s="11">
        <v>2800</v>
      </c>
      <c r="I188" s="11">
        <v>0.15</v>
      </c>
      <c r="J188" s="11">
        <v>11900</v>
      </c>
      <c r="K188" s="11">
        <v>11261.21</v>
      </c>
      <c r="L188" s="11">
        <v>638.79</v>
      </c>
      <c r="M188" s="11" t="s">
        <v>99</v>
      </c>
      <c r="N188" s="11" t="s">
        <v>71</v>
      </c>
      <c r="O188" s="11" t="s">
        <v>32</v>
      </c>
      <c r="P188" s="11" t="s">
        <v>46</v>
      </c>
      <c r="Q188" s="11" t="s">
        <v>47</v>
      </c>
    </row>
    <row r="189" spans="1:17" x14ac:dyDescent="0.25">
      <c r="A189" s="11" t="s">
        <v>512</v>
      </c>
      <c r="B189" s="12">
        <v>45969</v>
      </c>
      <c r="C189" s="11" t="s">
        <v>369</v>
      </c>
      <c r="D189" s="11" t="s">
        <v>370</v>
      </c>
      <c r="E189" s="11" t="s">
        <v>93</v>
      </c>
      <c r="F189" s="11" t="s">
        <v>94</v>
      </c>
      <c r="G189" s="11">
        <v>1</v>
      </c>
      <c r="H189" s="11">
        <v>2800</v>
      </c>
      <c r="I189" s="13">
        <v>0.05</v>
      </c>
      <c r="J189" s="11">
        <v>2660</v>
      </c>
      <c r="K189" s="11">
        <v>1901.29</v>
      </c>
      <c r="L189" s="11">
        <v>758.71</v>
      </c>
      <c r="M189" s="11" t="s">
        <v>70</v>
      </c>
      <c r="N189" s="11" t="s">
        <v>71</v>
      </c>
      <c r="O189" s="11" t="s">
        <v>45</v>
      </c>
      <c r="P189" s="11" t="s">
        <v>46</v>
      </c>
      <c r="Q189" s="11" t="s">
        <v>26</v>
      </c>
    </row>
    <row r="190" spans="1:17" x14ac:dyDescent="0.25">
      <c r="A190" s="11" t="s">
        <v>513</v>
      </c>
      <c r="B190" s="12">
        <v>45967</v>
      </c>
      <c r="C190" s="11" t="s">
        <v>182</v>
      </c>
      <c r="D190" s="11" t="s">
        <v>183</v>
      </c>
      <c r="E190" s="11" t="s">
        <v>85</v>
      </c>
      <c r="F190" s="11" t="s">
        <v>86</v>
      </c>
      <c r="G190" s="11">
        <v>5</v>
      </c>
      <c r="H190" s="11">
        <v>450</v>
      </c>
      <c r="I190" s="11">
        <v>0</v>
      </c>
      <c r="J190" s="11">
        <v>2250</v>
      </c>
      <c r="K190" s="11">
        <v>1695.33</v>
      </c>
      <c r="L190" s="11">
        <v>554.66999999999996</v>
      </c>
      <c r="M190" s="11" t="s">
        <v>80</v>
      </c>
      <c r="N190" s="11" t="s">
        <v>81</v>
      </c>
      <c r="O190" s="11" t="s">
        <v>45</v>
      </c>
      <c r="P190" s="11" t="s">
        <v>46</v>
      </c>
      <c r="Q190" s="11" t="s">
        <v>26</v>
      </c>
    </row>
    <row r="191" spans="1:17" x14ac:dyDescent="0.25">
      <c r="A191" s="11" t="s">
        <v>514</v>
      </c>
      <c r="B191" s="12">
        <v>45929</v>
      </c>
      <c r="C191" s="11" t="s">
        <v>149</v>
      </c>
      <c r="D191" s="11" t="s">
        <v>150</v>
      </c>
      <c r="E191" s="11" t="s">
        <v>62</v>
      </c>
      <c r="F191" s="11" t="s">
        <v>21</v>
      </c>
      <c r="G191" s="11">
        <v>5</v>
      </c>
      <c r="H191" s="11">
        <v>1800</v>
      </c>
      <c r="I191" s="11">
        <v>0.05</v>
      </c>
      <c r="J191" s="11">
        <v>8550</v>
      </c>
      <c r="K191" s="11">
        <v>6500.78</v>
      </c>
      <c r="L191" s="11">
        <v>2049.2199999999998</v>
      </c>
      <c r="M191" s="11" t="s">
        <v>59</v>
      </c>
      <c r="N191" s="11" t="s">
        <v>59</v>
      </c>
      <c r="O191" s="11" t="s">
        <v>45</v>
      </c>
      <c r="P191" s="11" t="s">
        <v>95</v>
      </c>
      <c r="Q191" s="11" t="s">
        <v>26</v>
      </c>
    </row>
    <row r="192" spans="1:17" x14ac:dyDescent="0.25">
      <c r="A192" s="11" t="s">
        <v>515</v>
      </c>
      <c r="B192" s="12">
        <v>45923</v>
      </c>
      <c r="C192" s="11" t="s">
        <v>516</v>
      </c>
      <c r="D192" s="11" t="s">
        <v>517</v>
      </c>
      <c r="E192" s="11" t="s">
        <v>158</v>
      </c>
      <c r="F192" s="11" t="s">
        <v>21</v>
      </c>
      <c r="G192" s="11">
        <v>2</v>
      </c>
      <c r="H192" s="11">
        <v>55000</v>
      </c>
      <c r="I192" s="11">
        <v>0.15</v>
      </c>
      <c r="J192" s="11">
        <v>93500</v>
      </c>
      <c r="K192" s="11">
        <v>85710.32</v>
      </c>
      <c r="L192" s="11">
        <v>7789.68</v>
      </c>
      <c r="M192" s="11" t="s">
        <v>75</v>
      </c>
      <c r="N192" s="11" t="s">
        <v>76</v>
      </c>
      <c r="O192" s="11" t="s">
        <v>32</v>
      </c>
      <c r="P192" s="11" t="s">
        <v>46</v>
      </c>
      <c r="Q192" s="11" t="s">
        <v>60</v>
      </c>
    </row>
    <row r="193" spans="1:17" x14ac:dyDescent="0.25">
      <c r="A193" s="11" t="s">
        <v>518</v>
      </c>
      <c r="B193" s="12">
        <v>45804</v>
      </c>
      <c r="C193" s="11" t="s">
        <v>519</v>
      </c>
      <c r="D193" s="11" t="s">
        <v>520</v>
      </c>
      <c r="E193" s="11" t="s">
        <v>131</v>
      </c>
      <c r="F193" s="11" t="s">
        <v>21</v>
      </c>
      <c r="G193" s="11">
        <v>2</v>
      </c>
      <c r="H193" s="11">
        <v>1600</v>
      </c>
      <c r="I193" s="13">
        <v>0.2</v>
      </c>
      <c r="J193" s="11">
        <v>2560</v>
      </c>
      <c r="K193" s="11">
        <v>2170.2600000000002</v>
      </c>
      <c r="L193" s="11">
        <v>389.74</v>
      </c>
      <c r="M193" s="11" t="s">
        <v>70</v>
      </c>
      <c r="N193" s="11" t="s">
        <v>71</v>
      </c>
      <c r="O193" s="11" t="s">
        <v>24</v>
      </c>
      <c r="P193" s="11" t="s">
        <v>37</v>
      </c>
      <c r="Q193" s="11" t="s">
        <v>26</v>
      </c>
    </row>
    <row r="194" spans="1:17" x14ac:dyDescent="0.25">
      <c r="A194" s="11" t="s">
        <v>521</v>
      </c>
      <c r="B194" s="12">
        <v>45999</v>
      </c>
      <c r="C194" s="11" t="s">
        <v>257</v>
      </c>
      <c r="D194" s="11" t="s">
        <v>258</v>
      </c>
      <c r="E194" s="11" t="s">
        <v>131</v>
      </c>
      <c r="F194" s="11" t="s">
        <v>21</v>
      </c>
      <c r="G194" s="11">
        <v>1</v>
      </c>
      <c r="H194" s="11">
        <v>1600</v>
      </c>
      <c r="I194" s="11">
        <v>0.1</v>
      </c>
      <c r="J194" s="11">
        <v>1440</v>
      </c>
      <c r="K194" s="11">
        <v>1063.9000000000001</v>
      </c>
      <c r="L194" s="11">
        <v>376.1</v>
      </c>
      <c r="M194" s="11" t="s">
        <v>59</v>
      </c>
      <c r="N194" s="11" t="s">
        <v>59</v>
      </c>
      <c r="O194" s="11" t="s">
        <v>32</v>
      </c>
      <c r="P194" s="11" t="s">
        <v>46</v>
      </c>
      <c r="Q194" s="11" t="s">
        <v>26</v>
      </c>
    </row>
    <row r="195" spans="1:17" x14ac:dyDescent="0.25">
      <c r="A195" s="11" t="s">
        <v>522</v>
      </c>
      <c r="B195" s="12">
        <v>45918</v>
      </c>
      <c r="C195" s="11" t="s">
        <v>484</v>
      </c>
      <c r="D195" s="11" t="s">
        <v>485</v>
      </c>
      <c r="E195" s="11" t="s">
        <v>93</v>
      </c>
      <c r="F195" s="11" t="s">
        <v>94</v>
      </c>
      <c r="G195" s="11">
        <v>2</v>
      </c>
      <c r="H195" s="11">
        <v>2800</v>
      </c>
      <c r="I195" s="13">
        <v>0.1</v>
      </c>
      <c r="J195" s="11">
        <v>5040</v>
      </c>
      <c r="K195" s="11">
        <v>4908.8500000000004</v>
      </c>
      <c r="L195" s="11">
        <v>131.15</v>
      </c>
      <c r="M195" s="11" t="s">
        <v>22</v>
      </c>
      <c r="N195" s="11" t="s">
        <v>23</v>
      </c>
      <c r="O195" s="11" t="s">
        <v>24</v>
      </c>
      <c r="P195" s="11" t="s">
        <v>95</v>
      </c>
      <c r="Q195" s="11" t="s">
        <v>26</v>
      </c>
    </row>
    <row r="196" spans="1:17" x14ac:dyDescent="0.25">
      <c r="A196" s="11" t="s">
        <v>523</v>
      </c>
      <c r="B196" s="12">
        <v>45951</v>
      </c>
      <c r="C196" s="11" t="s">
        <v>524</v>
      </c>
      <c r="D196" s="11" t="s">
        <v>525</v>
      </c>
      <c r="E196" s="11" t="s">
        <v>158</v>
      </c>
      <c r="F196" s="11" t="s">
        <v>21</v>
      </c>
      <c r="G196" s="11">
        <v>3</v>
      </c>
      <c r="H196" s="11">
        <v>55000</v>
      </c>
      <c r="I196" s="11">
        <v>0.2</v>
      </c>
      <c r="J196" s="11">
        <v>132000</v>
      </c>
      <c r="K196" s="11">
        <v>137748.96</v>
      </c>
      <c r="L196" s="11">
        <v>-5748.96</v>
      </c>
      <c r="M196" s="11" t="s">
        <v>59</v>
      </c>
      <c r="N196" s="11" t="s">
        <v>59</v>
      </c>
      <c r="O196" s="11" t="s">
        <v>45</v>
      </c>
      <c r="P196" s="11" t="s">
        <v>95</v>
      </c>
      <c r="Q196" s="11" t="s">
        <v>47</v>
      </c>
    </row>
    <row r="197" spans="1:17" x14ac:dyDescent="0.25">
      <c r="A197" s="11" t="s">
        <v>526</v>
      </c>
      <c r="B197" s="12">
        <v>45861</v>
      </c>
      <c r="C197" s="11" t="s">
        <v>440</v>
      </c>
      <c r="D197" s="11" t="s">
        <v>441</v>
      </c>
      <c r="E197" s="11" t="s">
        <v>62</v>
      </c>
      <c r="F197" s="11" t="s">
        <v>21</v>
      </c>
      <c r="G197" s="11">
        <v>1</v>
      </c>
      <c r="H197" s="11">
        <v>1800</v>
      </c>
      <c r="I197" s="11">
        <v>0.1</v>
      </c>
      <c r="J197" s="11">
        <v>1620</v>
      </c>
      <c r="K197" s="11">
        <v>1340.07</v>
      </c>
      <c r="L197" s="11">
        <v>279.93</v>
      </c>
      <c r="M197" s="11" t="s">
        <v>70</v>
      </c>
      <c r="N197" s="11" t="s">
        <v>71</v>
      </c>
      <c r="O197" s="11" t="s">
        <v>32</v>
      </c>
      <c r="P197" s="11" t="s">
        <v>25</v>
      </c>
      <c r="Q197" s="11" t="s">
        <v>26</v>
      </c>
    </row>
    <row r="198" spans="1:17" x14ac:dyDescent="0.25">
      <c r="A198" s="11" t="s">
        <v>527</v>
      </c>
      <c r="B198" s="12">
        <v>45888</v>
      </c>
      <c r="C198" s="11" t="s">
        <v>447</v>
      </c>
      <c r="D198" s="11" t="s">
        <v>448</v>
      </c>
      <c r="E198" s="11" t="s">
        <v>107</v>
      </c>
      <c r="F198" s="11" t="s">
        <v>108</v>
      </c>
      <c r="G198" s="11">
        <v>3</v>
      </c>
      <c r="H198" s="11">
        <v>1400</v>
      </c>
      <c r="I198" s="13">
        <v>0</v>
      </c>
      <c r="J198" s="11">
        <v>4200</v>
      </c>
      <c r="K198" s="11">
        <v>3229.77</v>
      </c>
      <c r="L198" s="11">
        <v>970.23</v>
      </c>
      <c r="M198" s="11" t="s">
        <v>70</v>
      </c>
      <c r="N198" s="11" t="s">
        <v>71</v>
      </c>
      <c r="O198" s="11" t="s">
        <v>32</v>
      </c>
      <c r="P198" s="11" t="s">
        <v>25</v>
      </c>
      <c r="Q198" s="11" t="s">
        <v>60</v>
      </c>
    </row>
    <row r="199" spans="1:17" x14ac:dyDescent="0.25">
      <c r="A199" s="11" t="s">
        <v>528</v>
      </c>
      <c r="B199" s="12">
        <v>45915</v>
      </c>
      <c r="C199" s="11" t="s">
        <v>163</v>
      </c>
      <c r="D199" s="11" t="s">
        <v>164</v>
      </c>
      <c r="E199" s="11" t="s">
        <v>93</v>
      </c>
      <c r="F199" s="11" t="s">
        <v>94</v>
      </c>
      <c r="G199" s="11">
        <v>2</v>
      </c>
      <c r="H199" s="11">
        <v>2800</v>
      </c>
      <c r="I199" s="13">
        <v>0.15</v>
      </c>
      <c r="J199" s="11">
        <v>4760</v>
      </c>
      <c r="K199" s="11">
        <v>3799.92</v>
      </c>
      <c r="L199" s="11">
        <v>960.08</v>
      </c>
      <c r="M199" s="11" t="s">
        <v>99</v>
      </c>
      <c r="N199" s="11" t="s">
        <v>71</v>
      </c>
      <c r="O199" s="11" t="s">
        <v>32</v>
      </c>
      <c r="P199" s="11" t="s">
        <v>46</v>
      </c>
      <c r="Q199" s="11" t="s">
        <v>26</v>
      </c>
    </row>
    <row r="200" spans="1:17" x14ac:dyDescent="0.25">
      <c r="A200" s="11" t="s">
        <v>529</v>
      </c>
      <c r="B200" s="12">
        <v>45835</v>
      </c>
      <c r="C200" s="11" t="s">
        <v>403</v>
      </c>
      <c r="D200" s="11" t="s">
        <v>404</v>
      </c>
      <c r="E200" s="11" t="s">
        <v>93</v>
      </c>
      <c r="F200" s="11" t="s">
        <v>94</v>
      </c>
      <c r="G200" s="11">
        <v>3</v>
      </c>
      <c r="H200" s="11">
        <v>2800</v>
      </c>
      <c r="I200" s="13">
        <v>0.05</v>
      </c>
      <c r="J200" s="11">
        <v>7980</v>
      </c>
      <c r="K200" s="11">
        <v>5612.36</v>
      </c>
      <c r="L200" s="11">
        <v>2367.64</v>
      </c>
      <c r="M200" s="11" t="s">
        <v>36</v>
      </c>
      <c r="N200" s="11" t="s">
        <v>23</v>
      </c>
      <c r="O200" s="11" t="s">
        <v>24</v>
      </c>
      <c r="P200" s="11" t="s">
        <v>25</v>
      </c>
      <c r="Q200" s="11" t="s">
        <v>26</v>
      </c>
    </row>
    <row r="201" spans="1:17" x14ac:dyDescent="0.25">
      <c r="A201" s="11" t="s">
        <v>530</v>
      </c>
      <c r="B201" s="12">
        <v>45931</v>
      </c>
      <c r="C201" s="11" t="s">
        <v>139</v>
      </c>
      <c r="D201" s="11" t="s">
        <v>140</v>
      </c>
      <c r="E201" s="11" t="s">
        <v>107</v>
      </c>
      <c r="F201" s="11" t="s">
        <v>108</v>
      </c>
      <c r="G201" s="11">
        <v>3</v>
      </c>
      <c r="H201" s="11">
        <v>1400</v>
      </c>
      <c r="I201" s="11">
        <v>0.2</v>
      </c>
      <c r="J201" s="11">
        <v>3360</v>
      </c>
      <c r="K201" s="11">
        <v>3349.19</v>
      </c>
      <c r="L201" s="11">
        <v>10.81</v>
      </c>
      <c r="M201" s="11" t="s">
        <v>43</v>
      </c>
      <c r="N201" s="11" t="s">
        <v>44</v>
      </c>
      <c r="O201" s="11" t="s">
        <v>32</v>
      </c>
      <c r="P201" s="11" t="s">
        <v>25</v>
      </c>
      <c r="Q201" s="11" t="s">
        <v>26</v>
      </c>
    </row>
    <row r="202" spans="1:17" x14ac:dyDescent="0.25">
      <c r="A202" s="11" t="s">
        <v>531</v>
      </c>
      <c r="B202" s="12">
        <v>45830</v>
      </c>
      <c r="C202" s="11" t="s">
        <v>532</v>
      </c>
      <c r="D202" s="11" t="s">
        <v>533</v>
      </c>
      <c r="E202" s="11" t="s">
        <v>93</v>
      </c>
      <c r="F202" s="11" t="s">
        <v>94</v>
      </c>
      <c r="G202" s="11">
        <v>5</v>
      </c>
      <c r="H202" s="11">
        <v>2800</v>
      </c>
      <c r="I202" s="13">
        <v>0.2</v>
      </c>
      <c r="J202" s="11">
        <v>11200</v>
      </c>
      <c r="K202" s="11">
        <v>11881.38</v>
      </c>
      <c r="L202" s="11">
        <v>-681.38</v>
      </c>
      <c r="M202" s="11" t="s">
        <v>99</v>
      </c>
      <c r="N202" s="11" t="s">
        <v>71</v>
      </c>
      <c r="O202" s="11" t="s">
        <v>24</v>
      </c>
      <c r="P202" s="11" t="s">
        <v>55</v>
      </c>
      <c r="Q202" s="11" t="s">
        <v>60</v>
      </c>
    </row>
    <row r="203" spans="1:17" x14ac:dyDescent="0.25">
      <c r="A203" s="11" t="s">
        <v>534</v>
      </c>
      <c r="B203" s="12">
        <v>45871</v>
      </c>
      <c r="C203" s="11" t="s">
        <v>353</v>
      </c>
      <c r="D203" s="11" t="s">
        <v>354</v>
      </c>
      <c r="E203" s="11" t="s">
        <v>41</v>
      </c>
      <c r="F203" s="11" t="s">
        <v>42</v>
      </c>
      <c r="G203" s="11">
        <v>2</v>
      </c>
      <c r="H203" s="11">
        <v>7500</v>
      </c>
      <c r="I203" s="11">
        <v>0.2</v>
      </c>
      <c r="J203" s="11">
        <v>12000</v>
      </c>
      <c r="K203" s="11">
        <v>12817.04</v>
      </c>
      <c r="L203" s="11">
        <v>-817.04</v>
      </c>
      <c r="M203" s="11" t="s">
        <v>99</v>
      </c>
      <c r="N203" s="11" t="s">
        <v>71</v>
      </c>
      <c r="O203" s="11" t="s">
        <v>24</v>
      </c>
      <c r="P203" s="11" t="s">
        <v>46</v>
      </c>
      <c r="Q203" s="11" t="s">
        <v>60</v>
      </c>
    </row>
    <row r="204" spans="1:17" x14ac:dyDescent="0.25">
      <c r="A204" s="11" t="s">
        <v>535</v>
      </c>
      <c r="B204" s="12">
        <v>46008</v>
      </c>
      <c r="C204" s="11" t="s">
        <v>536</v>
      </c>
      <c r="D204" s="11" t="s">
        <v>537</v>
      </c>
      <c r="E204" s="11" t="s">
        <v>103</v>
      </c>
      <c r="F204" s="11" t="s">
        <v>42</v>
      </c>
      <c r="G204" s="11">
        <v>4</v>
      </c>
      <c r="H204" s="11">
        <v>6000</v>
      </c>
      <c r="I204" s="11">
        <v>0.05</v>
      </c>
      <c r="J204" s="11">
        <v>22800</v>
      </c>
      <c r="K204" s="11">
        <v>18103.560000000001</v>
      </c>
      <c r="L204" s="11">
        <v>4696.4399999999996</v>
      </c>
      <c r="M204" s="11" t="s">
        <v>75</v>
      </c>
      <c r="N204" s="11" t="s">
        <v>76</v>
      </c>
      <c r="O204" s="11" t="s">
        <v>45</v>
      </c>
      <c r="P204" s="11" t="s">
        <v>55</v>
      </c>
      <c r="Q204" s="11" t="s">
        <v>26</v>
      </c>
    </row>
    <row r="205" spans="1:17" x14ac:dyDescent="0.25">
      <c r="A205" s="11" t="s">
        <v>538</v>
      </c>
      <c r="B205" s="12">
        <v>45895</v>
      </c>
      <c r="C205" s="11" t="s">
        <v>539</v>
      </c>
      <c r="D205" s="11" t="s">
        <v>540</v>
      </c>
      <c r="E205" s="11" t="s">
        <v>131</v>
      </c>
      <c r="F205" s="11" t="s">
        <v>21</v>
      </c>
      <c r="G205" s="11">
        <v>4</v>
      </c>
      <c r="H205" s="11">
        <v>1600</v>
      </c>
      <c r="I205" s="11">
        <v>0.15</v>
      </c>
      <c r="J205" s="11">
        <v>5440</v>
      </c>
      <c r="K205" s="11">
        <v>5053</v>
      </c>
      <c r="L205" s="11">
        <v>387</v>
      </c>
      <c r="M205" s="11" t="s">
        <v>22</v>
      </c>
      <c r="N205" s="11" t="s">
        <v>23</v>
      </c>
      <c r="O205" s="11" t="s">
        <v>32</v>
      </c>
      <c r="P205" s="11" t="s">
        <v>46</v>
      </c>
      <c r="Q205" s="11" t="s">
        <v>60</v>
      </c>
    </row>
    <row r="206" spans="1:17" x14ac:dyDescent="0.25">
      <c r="A206" s="11" t="s">
        <v>541</v>
      </c>
      <c r="B206" s="12">
        <v>45847</v>
      </c>
      <c r="C206" s="11" t="s">
        <v>542</v>
      </c>
      <c r="D206" s="11" t="s">
        <v>543</v>
      </c>
      <c r="E206" s="11" t="s">
        <v>54</v>
      </c>
      <c r="F206" s="11" t="s">
        <v>31</v>
      </c>
      <c r="G206" s="11">
        <v>4</v>
      </c>
      <c r="H206" s="11">
        <v>2800</v>
      </c>
      <c r="I206" s="13">
        <v>0.05</v>
      </c>
      <c r="J206" s="11">
        <v>10640</v>
      </c>
      <c r="K206" s="11">
        <v>7902.72</v>
      </c>
      <c r="L206" s="11">
        <v>2737.28</v>
      </c>
      <c r="M206" s="11" t="s">
        <v>43</v>
      </c>
      <c r="N206" s="11" t="s">
        <v>44</v>
      </c>
      <c r="O206" s="11" t="s">
        <v>24</v>
      </c>
      <c r="P206" s="11" t="s">
        <v>46</v>
      </c>
      <c r="Q206" s="11" t="s">
        <v>26</v>
      </c>
    </row>
    <row r="207" spans="1:17" x14ac:dyDescent="0.25">
      <c r="A207" s="11" t="s">
        <v>544</v>
      </c>
      <c r="B207" s="12">
        <v>45683</v>
      </c>
      <c r="C207" s="11" t="s">
        <v>545</v>
      </c>
      <c r="D207" s="11" t="s">
        <v>546</v>
      </c>
      <c r="E207" s="11" t="s">
        <v>116</v>
      </c>
      <c r="F207" s="11" t="s">
        <v>94</v>
      </c>
      <c r="G207" s="11">
        <v>2</v>
      </c>
      <c r="H207" s="11">
        <v>1800</v>
      </c>
      <c r="I207" s="11">
        <v>0</v>
      </c>
      <c r="J207" s="11">
        <v>3600</v>
      </c>
      <c r="K207" s="11">
        <v>2658.08</v>
      </c>
      <c r="L207" s="11">
        <v>941.92</v>
      </c>
      <c r="M207" s="11" t="s">
        <v>36</v>
      </c>
      <c r="N207" s="11" t="s">
        <v>23</v>
      </c>
      <c r="O207" s="11" t="s">
        <v>24</v>
      </c>
      <c r="P207" s="11" t="s">
        <v>37</v>
      </c>
      <c r="Q207" s="11" t="s">
        <v>26</v>
      </c>
    </row>
    <row r="208" spans="1:17" x14ac:dyDescent="0.25">
      <c r="A208" s="11" t="s">
        <v>547</v>
      </c>
      <c r="B208" s="12">
        <v>45818</v>
      </c>
      <c r="C208" s="11" t="s">
        <v>548</v>
      </c>
      <c r="D208" s="11" t="s">
        <v>549</v>
      </c>
      <c r="E208" s="11" t="s">
        <v>93</v>
      </c>
      <c r="F208" s="11" t="s">
        <v>94</v>
      </c>
      <c r="G208" s="11">
        <v>3</v>
      </c>
      <c r="H208" s="11">
        <v>2800</v>
      </c>
      <c r="I208" s="11">
        <v>0.2</v>
      </c>
      <c r="J208" s="11">
        <v>6720</v>
      </c>
      <c r="K208" s="11">
        <v>5767.85</v>
      </c>
      <c r="L208" s="11">
        <v>952.15</v>
      </c>
      <c r="M208" s="11" t="s">
        <v>22</v>
      </c>
      <c r="N208" s="11" t="s">
        <v>23</v>
      </c>
      <c r="O208" s="11" t="s">
        <v>32</v>
      </c>
      <c r="P208" s="11" t="s">
        <v>37</v>
      </c>
      <c r="Q208" s="11" t="s">
        <v>26</v>
      </c>
    </row>
    <row r="209" spans="1:17" x14ac:dyDescent="0.25">
      <c r="A209" s="11" t="s">
        <v>550</v>
      </c>
      <c r="B209" s="12">
        <v>45704</v>
      </c>
      <c r="C209" s="11" t="s">
        <v>551</v>
      </c>
      <c r="D209" s="11" t="s">
        <v>552</v>
      </c>
      <c r="E209" s="11" t="s">
        <v>103</v>
      </c>
      <c r="F209" s="11" t="s">
        <v>42</v>
      </c>
      <c r="G209" s="11">
        <v>4</v>
      </c>
      <c r="H209" s="11">
        <v>6000</v>
      </c>
      <c r="I209" s="13">
        <v>0</v>
      </c>
      <c r="J209" s="11">
        <v>24000</v>
      </c>
      <c r="K209" s="11">
        <v>18123.91</v>
      </c>
      <c r="L209" s="11">
        <v>5876.09</v>
      </c>
      <c r="M209" s="11" t="s">
        <v>75</v>
      </c>
      <c r="N209" s="11" t="s">
        <v>76</v>
      </c>
      <c r="O209" s="11" t="s">
        <v>24</v>
      </c>
      <c r="P209" s="11" t="s">
        <v>95</v>
      </c>
      <c r="Q209" s="11" t="s">
        <v>47</v>
      </c>
    </row>
    <row r="210" spans="1:17" x14ac:dyDescent="0.25">
      <c r="A210" s="11" t="s">
        <v>553</v>
      </c>
      <c r="B210" s="12">
        <v>45802</v>
      </c>
      <c r="C210" s="11" t="s">
        <v>299</v>
      </c>
      <c r="D210" s="11" t="s">
        <v>300</v>
      </c>
      <c r="E210" s="11" t="s">
        <v>54</v>
      </c>
      <c r="F210" s="11" t="s">
        <v>31</v>
      </c>
      <c r="G210" s="11">
        <v>1</v>
      </c>
      <c r="H210" s="11">
        <v>2800</v>
      </c>
      <c r="I210" s="11">
        <v>0</v>
      </c>
      <c r="J210" s="11">
        <v>2800</v>
      </c>
      <c r="K210" s="11">
        <v>2388.23</v>
      </c>
      <c r="L210" s="11">
        <v>411.77</v>
      </c>
      <c r="M210" s="11" t="s">
        <v>70</v>
      </c>
      <c r="N210" s="11" t="s">
        <v>71</v>
      </c>
      <c r="O210" s="11" t="s">
        <v>45</v>
      </c>
      <c r="P210" s="11" t="s">
        <v>37</v>
      </c>
      <c r="Q210" s="11" t="s">
        <v>26</v>
      </c>
    </row>
    <row r="211" spans="1:17" x14ac:dyDescent="0.25">
      <c r="A211" s="11" t="s">
        <v>554</v>
      </c>
      <c r="B211" s="12">
        <v>45726</v>
      </c>
      <c r="C211" s="11" t="s">
        <v>555</v>
      </c>
      <c r="D211" s="11" t="s">
        <v>556</v>
      </c>
      <c r="E211" s="11" t="s">
        <v>158</v>
      </c>
      <c r="F211" s="11" t="s">
        <v>21</v>
      </c>
      <c r="G211" s="11">
        <v>1</v>
      </c>
      <c r="H211" s="11">
        <v>55000</v>
      </c>
      <c r="I211" s="11">
        <v>0.15</v>
      </c>
      <c r="J211" s="11">
        <v>46750</v>
      </c>
      <c r="K211" s="11">
        <v>40377.089999999997</v>
      </c>
      <c r="L211" s="11">
        <v>6372.91</v>
      </c>
      <c r="M211" s="11" t="s">
        <v>36</v>
      </c>
      <c r="N211" s="11" t="s">
        <v>23</v>
      </c>
      <c r="O211" s="11" t="s">
        <v>32</v>
      </c>
      <c r="P211" s="11" t="s">
        <v>46</v>
      </c>
      <c r="Q211" s="11" t="s">
        <v>26</v>
      </c>
    </row>
    <row r="212" spans="1:17" x14ac:dyDescent="0.25">
      <c r="A212" s="11" t="s">
        <v>557</v>
      </c>
      <c r="B212" s="12">
        <v>45945</v>
      </c>
      <c r="C212" s="11" t="s">
        <v>73</v>
      </c>
      <c r="D212" s="11" t="s">
        <v>74</v>
      </c>
      <c r="E212" s="11" t="s">
        <v>85</v>
      </c>
      <c r="F212" s="11" t="s">
        <v>86</v>
      </c>
      <c r="G212" s="11">
        <v>1</v>
      </c>
      <c r="H212" s="11">
        <v>450</v>
      </c>
      <c r="I212" s="13">
        <v>0.2</v>
      </c>
      <c r="J212" s="11">
        <v>360</v>
      </c>
      <c r="K212" s="11">
        <v>349.76</v>
      </c>
      <c r="L212" s="11">
        <v>10.24</v>
      </c>
      <c r="M212" s="11" t="s">
        <v>22</v>
      </c>
      <c r="N212" s="11" t="s">
        <v>23</v>
      </c>
      <c r="O212" s="11" t="s">
        <v>45</v>
      </c>
      <c r="P212" s="11" t="s">
        <v>37</v>
      </c>
      <c r="Q212" s="11" t="s">
        <v>47</v>
      </c>
    </row>
    <row r="213" spans="1:17" x14ac:dyDescent="0.25">
      <c r="A213" s="11" t="s">
        <v>558</v>
      </c>
      <c r="B213" s="12">
        <v>45977</v>
      </c>
      <c r="C213" s="11" t="s">
        <v>559</v>
      </c>
      <c r="D213" s="11" t="s">
        <v>560</v>
      </c>
      <c r="E213" s="11" t="s">
        <v>131</v>
      </c>
      <c r="F213" s="11" t="s">
        <v>21</v>
      </c>
      <c r="G213" s="11">
        <v>5</v>
      </c>
      <c r="H213" s="11">
        <v>1600</v>
      </c>
      <c r="I213" s="11">
        <v>0.1</v>
      </c>
      <c r="J213" s="11">
        <v>7200</v>
      </c>
      <c r="K213" s="11">
        <v>6994.15</v>
      </c>
      <c r="L213" s="11">
        <v>205.85</v>
      </c>
      <c r="M213" s="11" t="s">
        <v>43</v>
      </c>
      <c r="N213" s="11" t="s">
        <v>44</v>
      </c>
      <c r="O213" s="11" t="s">
        <v>32</v>
      </c>
      <c r="P213" s="11" t="s">
        <v>46</v>
      </c>
      <c r="Q213" s="11" t="s">
        <v>26</v>
      </c>
    </row>
    <row r="214" spans="1:17" x14ac:dyDescent="0.25">
      <c r="A214" s="11" t="s">
        <v>561</v>
      </c>
      <c r="B214" s="12">
        <v>45966</v>
      </c>
      <c r="C214" s="11" t="s">
        <v>139</v>
      </c>
      <c r="D214" s="11" t="s">
        <v>140</v>
      </c>
      <c r="E214" s="11" t="s">
        <v>54</v>
      </c>
      <c r="F214" s="11" t="s">
        <v>31</v>
      </c>
      <c r="G214" s="11">
        <v>2</v>
      </c>
      <c r="H214" s="11">
        <v>2800</v>
      </c>
      <c r="I214" s="13">
        <v>0.05</v>
      </c>
      <c r="J214" s="11">
        <v>5320</v>
      </c>
      <c r="K214" s="11">
        <v>3691.85</v>
      </c>
      <c r="L214" s="11">
        <v>1628.15</v>
      </c>
      <c r="M214" s="11" t="s">
        <v>75</v>
      </c>
      <c r="N214" s="11" t="s">
        <v>76</v>
      </c>
      <c r="O214" s="11" t="s">
        <v>32</v>
      </c>
      <c r="P214" s="11" t="s">
        <v>95</v>
      </c>
      <c r="Q214" s="11" t="s">
        <v>60</v>
      </c>
    </row>
    <row r="215" spans="1:17" x14ac:dyDescent="0.25">
      <c r="A215" s="11" t="s">
        <v>562</v>
      </c>
      <c r="B215" s="12">
        <v>45891</v>
      </c>
      <c r="C215" s="11" t="s">
        <v>288</v>
      </c>
      <c r="D215" s="11" t="s">
        <v>289</v>
      </c>
      <c r="E215" s="11" t="s">
        <v>66</v>
      </c>
      <c r="F215" s="11" t="s">
        <v>31</v>
      </c>
      <c r="G215" s="11">
        <v>4</v>
      </c>
      <c r="H215" s="11">
        <v>3500</v>
      </c>
      <c r="I215" s="13">
        <v>0.2</v>
      </c>
      <c r="J215" s="11">
        <v>11200</v>
      </c>
      <c r="K215" s="11">
        <v>11975.88</v>
      </c>
      <c r="L215" s="11">
        <v>-775.88</v>
      </c>
      <c r="M215" s="11" t="s">
        <v>80</v>
      </c>
      <c r="N215" s="11" t="s">
        <v>81</v>
      </c>
      <c r="O215" s="11" t="s">
        <v>24</v>
      </c>
      <c r="P215" s="11" t="s">
        <v>46</v>
      </c>
      <c r="Q215" s="11" t="s">
        <v>47</v>
      </c>
    </row>
    <row r="216" spans="1:17" x14ac:dyDescent="0.25">
      <c r="A216" s="11" t="s">
        <v>563</v>
      </c>
      <c r="B216" s="12">
        <v>45973</v>
      </c>
      <c r="C216" s="11" t="s">
        <v>564</v>
      </c>
      <c r="D216" s="11" t="s">
        <v>565</v>
      </c>
      <c r="E216" s="11" t="s">
        <v>66</v>
      </c>
      <c r="F216" s="11" t="s">
        <v>31</v>
      </c>
      <c r="G216" s="11">
        <v>2</v>
      </c>
      <c r="H216" s="11">
        <v>3500</v>
      </c>
      <c r="I216" s="11">
        <v>0.15</v>
      </c>
      <c r="J216" s="11">
        <v>5950</v>
      </c>
      <c r="K216" s="11">
        <v>5091.5600000000004</v>
      </c>
      <c r="L216" s="11">
        <v>858.44</v>
      </c>
      <c r="M216" s="11" t="s">
        <v>36</v>
      </c>
      <c r="N216" s="11" t="s">
        <v>23</v>
      </c>
      <c r="O216" s="11" t="s">
        <v>45</v>
      </c>
      <c r="P216" s="11" t="s">
        <v>25</v>
      </c>
      <c r="Q216" s="11" t="s">
        <v>26</v>
      </c>
    </row>
    <row r="217" spans="1:17" x14ac:dyDescent="0.25">
      <c r="A217" s="11" t="s">
        <v>566</v>
      </c>
      <c r="B217" s="12">
        <v>45846</v>
      </c>
      <c r="C217" s="11" t="s">
        <v>143</v>
      </c>
      <c r="D217" s="11" t="s">
        <v>144</v>
      </c>
      <c r="E217" s="11" t="s">
        <v>103</v>
      </c>
      <c r="F217" s="11" t="s">
        <v>42</v>
      </c>
      <c r="G217" s="11">
        <v>4</v>
      </c>
      <c r="H217" s="11">
        <v>6000</v>
      </c>
      <c r="I217" s="11">
        <v>0</v>
      </c>
      <c r="J217" s="11">
        <v>24000</v>
      </c>
      <c r="K217" s="11">
        <v>16205.02</v>
      </c>
      <c r="L217" s="11">
        <v>7794.98</v>
      </c>
      <c r="M217" s="11" t="s">
        <v>59</v>
      </c>
      <c r="N217" s="11" t="s">
        <v>59</v>
      </c>
      <c r="O217" s="11" t="s">
        <v>45</v>
      </c>
      <c r="P217" s="11" t="s">
        <v>25</v>
      </c>
      <c r="Q217" s="11" t="s">
        <v>26</v>
      </c>
    </row>
    <row r="218" spans="1:17" x14ac:dyDescent="0.25">
      <c r="A218" s="11" t="s">
        <v>567</v>
      </c>
      <c r="B218" s="12">
        <v>45793</v>
      </c>
      <c r="C218" s="11" t="s">
        <v>568</v>
      </c>
      <c r="D218" s="11" t="s">
        <v>569</v>
      </c>
      <c r="E218" s="11" t="s">
        <v>158</v>
      </c>
      <c r="F218" s="11" t="s">
        <v>21</v>
      </c>
      <c r="G218" s="11">
        <v>5</v>
      </c>
      <c r="H218" s="11">
        <v>55000</v>
      </c>
      <c r="I218" s="11">
        <v>0.15</v>
      </c>
      <c r="J218" s="11">
        <v>233750</v>
      </c>
      <c r="K218" s="11">
        <v>181998.21</v>
      </c>
      <c r="L218" s="11">
        <v>51751.79</v>
      </c>
      <c r="M218" s="11" t="s">
        <v>22</v>
      </c>
      <c r="N218" s="11" t="s">
        <v>23</v>
      </c>
      <c r="O218" s="11" t="s">
        <v>45</v>
      </c>
      <c r="P218" s="11" t="s">
        <v>95</v>
      </c>
      <c r="Q218" s="11" t="s">
        <v>47</v>
      </c>
    </row>
    <row r="219" spans="1:17" x14ac:dyDescent="0.25">
      <c r="A219" s="11" t="s">
        <v>570</v>
      </c>
      <c r="B219" s="12">
        <v>45674</v>
      </c>
      <c r="C219" s="11" t="s">
        <v>571</v>
      </c>
      <c r="D219" s="11" t="s">
        <v>572</v>
      </c>
      <c r="E219" s="11" t="s">
        <v>85</v>
      </c>
      <c r="F219" s="11" t="s">
        <v>86</v>
      </c>
      <c r="G219" s="11">
        <v>2</v>
      </c>
      <c r="H219" s="11">
        <v>450</v>
      </c>
      <c r="I219" s="11">
        <v>0.05</v>
      </c>
      <c r="J219" s="11">
        <v>855</v>
      </c>
      <c r="K219" s="11">
        <v>588.91999999999996</v>
      </c>
      <c r="L219" s="11">
        <v>266.08</v>
      </c>
      <c r="M219" s="11" t="s">
        <v>43</v>
      </c>
      <c r="N219" s="11" t="s">
        <v>44</v>
      </c>
      <c r="O219" s="11" t="s">
        <v>24</v>
      </c>
      <c r="P219" s="11" t="s">
        <v>37</v>
      </c>
      <c r="Q219" s="11" t="s">
        <v>26</v>
      </c>
    </row>
    <row r="220" spans="1:17" x14ac:dyDescent="0.25">
      <c r="A220" s="11" t="s">
        <v>573</v>
      </c>
      <c r="B220" s="12">
        <v>45914</v>
      </c>
      <c r="C220" s="11" t="s">
        <v>574</v>
      </c>
      <c r="D220" s="11" t="s">
        <v>575</v>
      </c>
      <c r="E220" s="11" t="s">
        <v>30</v>
      </c>
      <c r="F220" s="11" t="s">
        <v>31</v>
      </c>
      <c r="G220" s="11">
        <v>2</v>
      </c>
      <c r="H220" s="11">
        <v>1200</v>
      </c>
      <c r="I220" s="11">
        <v>0.15</v>
      </c>
      <c r="J220" s="11">
        <v>2040</v>
      </c>
      <c r="K220" s="11">
        <v>2028.3</v>
      </c>
      <c r="L220" s="11">
        <v>11.7</v>
      </c>
      <c r="M220" s="11" t="s">
        <v>70</v>
      </c>
      <c r="N220" s="11" t="s">
        <v>71</v>
      </c>
      <c r="O220" s="11" t="s">
        <v>45</v>
      </c>
      <c r="P220" s="11" t="s">
        <v>55</v>
      </c>
      <c r="Q220" s="11" t="s">
        <v>60</v>
      </c>
    </row>
    <row r="221" spans="1:17" x14ac:dyDescent="0.25">
      <c r="A221" s="11" t="s">
        <v>576</v>
      </c>
      <c r="B221" s="12">
        <v>45945</v>
      </c>
      <c r="C221" s="11" t="s">
        <v>577</v>
      </c>
      <c r="D221" s="11" t="s">
        <v>578</v>
      </c>
      <c r="E221" s="11" t="s">
        <v>107</v>
      </c>
      <c r="F221" s="11" t="s">
        <v>108</v>
      </c>
      <c r="G221" s="11">
        <v>5</v>
      </c>
      <c r="H221" s="11">
        <v>1400</v>
      </c>
      <c r="I221" s="11">
        <v>0.05</v>
      </c>
      <c r="J221" s="11">
        <v>6650</v>
      </c>
      <c r="K221" s="11">
        <v>5320.18</v>
      </c>
      <c r="L221" s="11">
        <v>1329.82</v>
      </c>
      <c r="M221" s="11" t="s">
        <v>59</v>
      </c>
      <c r="N221" s="11" t="s">
        <v>59</v>
      </c>
      <c r="O221" s="11" t="s">
        <v>24</v>
      </c>
      <c r="P221" s="11" t="s">
        <v>46</v>
      </c>
      <c r="Q221" s="11" t="s">
        <v>26</v>
      </c>
    </row>
    <row r="222" spans="1:17" x14ac:dyDescent="0.25">
      <c r="A222" s="11" t="s">
        <v>579</v>
      </c>
      <c r="B222" s="12">
        <v>45937</v>
      </c>
      <c r="C222" s="11" t="s">
        <v>182</v>
      </c>
      <c r="D222" s="11" t="s">
        <v>183</v>
      </c>
      <c r="E222" s="11" t="s">
        <v>131</v>
      </c>
      <c r="F222" s="11" t="s">
        <v>21</v>
      </c>
      <c r="G222" s="11">
        <v>5</v>
      </c>
      <c r="H222" s="11">
        <v>1600</v>
      </c>
      <c r="I222" s="11">
        <v>0.1</v>
      </c>
      <c r="J222" s="11">
        <v>7200</v>
      </c>
      <c r="K222" s="11">
        <v>6620.46</v>
      </c>
      <c r="L222" s="11">
        <v>579.54</v>
      </c>
      <c r="M222" s="11" t="s">
        <v>59</v>
      </c>
      <c r="N222" s="11" t="s">
        <v>59</v>
      </c>
      <c r="O222" s="11" t="s">
        <v>45</v>
      </c>
      <c r="P222" s="11" t="s">
        <v>46</v>
      </c>
      <c r="Q222" s="11" t="s">
        <v>47</v>
      </c>
    </row>
    <row r="223" spans="1:17" x14ac:dyDescent="0.25">
      <c r="A223" s="11" t="s">
        <v>580</v>
      </c>
      <c r="B223" s="12">
        <v>45800</v>
      </c>
      <c r="C223" s="11" t="s">
        <v>581</v>
      </c>
      <c r="D223" s="11" t="s">
        <v>582</v>
      </c>
      <c r="E223" s="11" t="s">
        <v>123</v>
      </c>
      <c r="F223" s="11" t="s">
        <v>21</v>
      </c>
      <c r="G223" s="11">
        <v>2</v>
      </c>
      <c r="H223" s="11">
        <v>2200</v>
      </c>
      <c r="I223" s="11">
        <v>0.05</v>
      </c>
      <c r="J223" s="11">
        <v>4180</v>
      </c>
      <c r="K223" s="11">
        <v>3812.78</v>
      </c>
      <c r="L223" s="11">
        <v>367.22</v>
      </c>
      <c r="M223" s="11" t="s">
        <v>36</v>
      </c>
      <c r="N223" s="11" t="s">
        <v>23</v>
      </c>
      <c r="O223" s="11" t="s">
        <v>24</v>
      </c>
      <c r="P223" s="11" t="s">
        <v>46</v>
      </c>
      <c r="Q223" s="11" t="s">
        <v>60</v>
      </c>
    </row>
    <row r="224" spans="1:17" x14ac:dyDescent="0.25">
      <c r="A224" s="11" t="s">
        <v>583</v>
      </c>
      <c r="B224" s="12">
        <v>45903</v>
      </c>
      <c r="C224" s="11" t="s">
        <v>166</v>
      </c>
      <c r="D224" s="11" t="s">
        <v>167</v>
      </c>
      <c r="E224" s="11" t="s">
        <v>112</v>
      </c>
      <c r="F224" s="11" t="s">
        <v>94</v>
      </c>
      <c r="G224" s="11">
        <v>4</v>
      </c>
      <c r="H224" s="11">
        <v>800</v>
      </c>
      <c r="I224" s="11">
        <v>0.1</v>
      </c>
      <c r="J224" s="11">
        <v>2880</v>
      </c>
      <c r="K224" s="11">
        <v>2767.2</v>
      </c>
      <c r="L224" s="11">
        <v>112.8</v>
      </c>
      <c r="M224" s="11" t="s">
        <v>59</v>
      </c>
      <c r="N224" s="11" t="s">
        <v>59</v>
      </c>
      <c r="O224" s="11" t="s">
        <v>32</v>
      </c>
      <c r="P224" s="11" t="s">
        <v>46</v>
      </c>
      <c r="Q224" s="11" t="s">
        <v>26</v>
      </c>
    </row>
    <row r="225" spans="1:17" x14ac:dyDescent="0.25">
      <c r="A225" s="11" t="s">
        <v>584</v>
      </c>
      <c r="B225" s="12">
        <v>45852</v>
      </c>
      <c r="C225" s="11" t="s">
        <v>476</v>
      </c>
      <c r="D225" s="11" t="s">
        <v>477</v>
      </c>
      <c r="E225" s="11" t="s">
        <v>20</v>
      </c>
      <c r="F225" s="11" t="s">
        <v>21</v>
      </c>
      <c r="G225" s="11">
        <v>5</v>
      </c>
      <c r="H225" s="11">
        <v>4500</v>
      </c>
      <c r="I225" s="13">
        <v>0.2</v>
      </c>
      <c r="J225" s="11">
        <v>18000</v>
      </c>
      <c r="K225" s="11">
        <v>16411.07</v>
      </c>
      <c r="L225" s="11">
        <v>1588.93</v>
      </c>
      <c r="M225" s="11" t="s">
        <v>75</v>
      </c>
      <c r="N225" s="11" t="s">
        <v>76</v>
      </c>
      <c r="O225" s="11" t="s">
        <v>32</v>
      </c>
      <c r="P225" s="11" t="s">
        <v>46</v>
      </c>
      <c r="Q225" s="11" t="s">
        <v>26</v>
      </c>
    </row>
    <row r="226" spans="1:17" x14ac:dyDescent="0.25">
      <c r="A226" s="11" t="s">
        <v>585</v>
      </c>
      <c r="B226" s="12">
        <v>45884</v>
      </c>
      <c r="C226" s="11" t="s">
        <v>375</v>
      </c>
      <c r="D226" s="11" t="s">
        <v>376</v>
      </c>
      <c r="E226" s="11" t="s">
        <v>103</v>
      </c>
      <c r="F226" s="11" t="s">
        <v>42</v>
      </c>
      <c r="G226" s="11">
        <v>1</v>
      </c>
      <c r="H226" s="11">
        <v>6000</v>
      </c>
      <c r="I226" s="13">
        <v>0.1</v>
      </c>
      <c r="J226" s="11">
        <v>5400</v>
      </c>
      <c r="K226" s="11">
        <v>4561.13</v>
      </c>
      <c r="L226" s="11">
        <v>838.87</v>
      </c>
      <c r="M226" s="11" t="s">
        <v>36</v>
      </c>
      <c r="N226" s="11" t="s">
        <v>23</v>
      </c>
      <c r="O226" s="11" t="s">
        <v>24</v>
      </c>
      <c r="P226" s="11" t="s">
        <v>25</v>
      </c>
      <c r="Q226" s="11" t="s">
        <v>26</v>
      </c>
    </row>
    <row r="227" spans="1:17" x14ac:dyDescent="0.25">
      <c r="A227" s="11" t="s">
        <v>586</v>
      </c>
      <c r="B227" s="12">
        <v>45973</v>
      </c>
      <c r="C227" s="11" t="s">
        <v>587</v>
      </c>
      <c r="D227" s="11" t="s">
        <v>588</v>
      </c>
      <c r="E227" s="11" t="s">
        <v>41</v>
      </c>
      <c r="F227" s="11" t="s">
        <v>42</v>
      </c>
      <c r="G227" s="11">
        <v>2</v>
      </c>
      <c r="H227" s="11">
        <v>7500</v>
      </c>
      <c r="I227" s="11">
        <v>0</v>
      </c>
      <c r="J227" s="11">
        <v>15000</v>
      </c>
      <c r="K227" s="11">
        <v>9925.14</v>
      </c>
      <c r="L227" s="11">
        <v>5074.8599999999997</v>
      </c>
      <c r="M227" s="11" t="s">
        <v>22</v>
      </c>
      <c r="N227" s="11" t="s">
        <v>23</v>
      </c>
      <c r="O227" s="11" t="s">
        <v>24</v>
      </c>
      <c r="P227" s="11" t="s">
        <v>95</v>
      </c>
      <c r="Q227" s="11" t="s">
        <v>60</v>
      </c>
    </row>
    <row r="228" spans="1:17" x14ac:dyDescent="0.25">
      <c r="A228" s="11" t="s">
        <v>589</v>
      </c>
      <c r="B228" s="12">
        <v>45869</v>
      </c>
      <c r="C228" s="11" t="s">
        <v>160</v>
      </c>
      <c r="D228" s="11" t="s">
        <v>161</v>
      </c>
      <c r="E228" s="11" t="s">
        <v>116</v>
      </c>
      <c r="F228" s="11" t="s">
        <v>94</v>
      </c>
      <c r="G228" s="11">
        <v>1</v>
      </c>
      <c r="H228" s="11">
        <v>1800</v>
      </c>
      <c r="I228" s="11">
        <v>0</v>
      </c>
      <c r="J228" s="11">
        <v>1800</v>
      </c>
      <c r="K228" s="11">
        <v>1365.58</v>
      </c>
      <c r="L228" s="11">
        <v>434.42</v>
      </c>
      <c r="M228" s="11" t="s">
        <v>59</v>
      </c>
      <c r="N228" s="11" t="s">
        <v>59</v>
      </c>
      <c r="O228" s="11" t="s">
        <v>45</v>
      </c>
      <c r="P228" s="11" t="s">
        <v>95</v>
      </c>
      <c r="Q228" s="11" t="s">
        <v>26</v>
      </c>
    </row>
    <row r="229" spans="1:17" x14ac:dyDescent="0.25">
      <c r="A229" s="11" t="s">
        <v>590</v>
      </c>
      <c r="B229" s="12">
        <v>45902</v>
      </c>
      <c r="C229" s="11" t="s">
        <v>242</v>
      </c>
      <c r="D229" s="11" t="s">
        <v>243</v>
      </c>
      <c r="E229" s="11" t="s">
        <v>93</v>
      </c>
      <c r="F229" s="11" t="s">
        <v>94</v>
      </c>
      <c r="G229" s="11">
        <v>4</v>
      </c>
      <c r="H229" s="11">
        <v>2800</v>
      </c>
      <c r="I229" s="11">
        <v>0.15</v>
      </c>
      <c r="J229" s="11">
        <v>9520</v>
      </c>
      <c r="K229" s="11">
        <v>9763.0400000000009</v>
      </c>
      <c r="L229" s="11">
        <v>-243.04</v>
      </c>
      <c r="M229" s="11" t="s">
        <v>22</v>
      </c>
      <c r="N229" s="11" t="s">
        <v>23</v>
      </c>
      <c r="O229" s="11" t="s">
        <v>45</v>
      </c>
      <c r="P229" s="11" t="s">
        <v>46</v>
      </c>
      <c r="Q229" s="11" t="s">
        <v>60</v>
      </c>
    </row>
    <row r="230" spans="1:17" x14ac:dyDescent="0.25">
      <c r="A230" s="11" t="s">
        <v>591</v>
      </c>
      <c r="B230" s="12">
        <v>45776</v>
      </c>
      <c r="C230" s="11" t="s">
        <v>516</v>
      </c>
      <c r="D230" s="11" t="s">
        <v>517</v>
      </c>
      <c r="E230" s="11" t="s">
        <v>141</v>
      </c>
      <c r="F230" s="11" t="s">
        <v>21</v>
      </c>
      <c r="G230" s="11">
        <v>1</v>
      </c>
      <c r="H230" s="11">
        <v>22000</v>
      </c>
      <c r="I230" s="11">
        <v>0.2</v>
      </c>
      <c r="J230" s="11">
        <v>17600</v>
      </c>
      <c r="K230" s="11">
        <v>18962.64</v>
      </c>
      <c r="L230" s="11">
        <v>-1362.64</v>
      </c>
      <c r="M230" s="11" t="s">
        <v>99</v>
      </c>
      <c r="N230" s="11" t="s">
        <v>71</v>
      </c>
      <c r="O230" s="11" t="s">
        <v>24</v>
      </c>
      <c r="P230" s="11" t="s">
        <v>95</v>
      </c>
      <c r="Q230" s="11" t="s">
        <v>26</v>
      </c>
    </row>
    <row r="231" spans="1:17" x14ac:dyDescent="0.25">
      <c r="A231" s="11" t="s">
        <v>592</v>
      </c>
      <c r="B231" s="12">
        <v>45806</v>
      </c>
      <c r="C231" s="11" t="s">
        <v>593</v>
      </c>
      <c r="D231" s="11" t="s">
        <v>594</v>
      </c>
      <c r="E231" s="11" t="s">
        <v>85</v>
      </c>
      <c r="F231" s="11" t="s">
        <v>86</v>
      </c>
      <c r="G231" s="11">
        <v>4</v>
      </c>
      <c r="H231" s="11">
        <v>450</v>
      </c>
      <c r="I231" s="11">
        <v>0.05</v>
      </c>
      <c r="J231" s="11">
        <v>1710</v>
      </c>
      <c r="K231" s="11">
        <v>1293.53</v>
      </c>
      <c r="L231" s="11">
        <v>416.47</v>
      </c>
      <c r="M231" s="11" t="s">
        <v>99</v>
      </c>
      <c r="N231" s="11" t="s">
        <v>71</v>
      </c>
      <c r="O231" s="11" t="s">
        <v>24</v>
      </c>
      <c r="P231" s="11" t="s">
        <v>55</v>
      </c>
      <c r="Q231" s="11" t="s">
        <v>26</v>
      </c>
    </row>
    <row r="232" spans="1:17" x14ac:dyDescent="0.25">
      <c r="A232" s="11" t="s">
        <v>595</v>
      </c>
      <c r="B232" s="12">
        <v>45926</v>
      </c>
      <c r="C232" s="11" t="s">
        <v>410</v>
      </c>
      <c r="D232" s="11" t="s">
        <v>411</v>
      </c>
      <c r="E232" s="11" t="s">
        <v>103</v>
      </c>
      <c r="F232" s="11" t="s">
        <v>42</v>
      </c>
      <c r="G232" s="11">
        <v>4</v>
      </c>
      <c r="H232" s="11">
        <v>6000</v>
      </c>
      <c r="I232" s="11">
        <v>0.2</v>
      </c>
      <c r="J232" s="11">
        <v>19200</v>
      </c>
      <c r="K232" s="11">
        <v>20780.849999999999</v>
      </c>
      <c r="L232" s="11">
        <v>-1580.85</v>
      </c>
      <c r="M232" s="11" t="s">
        <v>70</v>
      </c>
      <c r="N232" s="11" t="s">
        <v>71</v>
      </c>
      <c r="O232" s="11" t="s">
        <v>32</v>
      </c>
      <c r="P232" s="11" t="s">
        <v>37</v>
      </c>
      <c r="Q232" s="11" t="s">
        <v>26</v>
      </c>
    </row>
    <row r="233" spans="1:17" x14ac:dyDescent="0.25">
      <c r="A233" s="11" t="s">
        <v>596</v>
      </c>
      <c r="B233" s="12">
        <v>45741</v>
      </c>
      <c r="C233" s="11" t="s">
        <v>597</v>
      </c>
      <c r="D233" s="11" t="s">
        <v>598</v>
      </c>
      <c r="E233" s="11" t="s">
        <v>112</v>
      </c>
      <c r="F233" s="11" t="s">
        <v>94</v>
      </c>
      <c r="G233" s="11">
        <v>1</v>
      </c>
      <c r="H233" s="11">
        <v>800</v>
      </c>
      <c r="I233" s="13">
        <v>0.1</v>
      </c>
      <c r="J233" s="11">
        <v>720</v>
      </c>
      <c r="K233" s="11">
        <v>567.34</v>
      </c>
      <c r="L233" s="11">
        <v>152.66</v>
      </c>
      <c r="M233" s="11" t="s">
        <v>70</v>
      </c>
      <c r="N233" s="11" t="s">
        <v>71</v>
      </c>
      <c r="O233" s="11" t="s">
        <v>24</v>
      </c>
      <c r="P233" s="11" t="s">
        <v>55</v>
      </c>
      <c r="Q233" s="11" t="s">
        <v>60</v>
      </c>
    </row>
    <row r="234" spans="1:17" x14ac:dyDescent="0.25">
      <c r="A234" s="11" t="s">
        <v>599</v>
      </c>
      <c r="B234" s="12">
        <v>46003</v>
      </c>
      <c r="C234" s="11" t="s">
        <v>600</v>
      </c>
      <c r="D234" s="11" t="s">
        <v>601</v>
      </c>
      <c r="E234" s="11" t="s">
        <v>66</v>
      </c>
      <c r="F234" s="11" t="s">
        <v>31</v>
      </c>
      <c r="G234" s="11">
        <v>3</v>
      </c>
      <c r="H234" s="11">
        <v>3500</v>
      </c>
      <c r="I234" s="11">
        <v>0.2</v>
      </c>
      <c r="J234" s="11">
        <v>8400</v>
      </c>
      <c r="K234" s="11">
        <v>8300.4599999999991</v>
      </c>
      <c r="L234" s="11">
        <v>99.54</v>
      </c>
      <c r="M234" s="11" t="s">
        <v>1349</v>
      </c>
      <c r="N234" s="11" t="s">
        <v>1349</v>
      </c>
      <c r="O234" s="11" t="s">
        <v>45</v>
      </c>
      <c r="P234" s="11" t="s">
        <v>37</v>
      </c>
      <c r="Q234" s="11" t="s">
        <v>26</v>
      </c>
    </row>
    <row r="235" spans="1:17" x14ac:dyDescent="0.25">
      <c r="A235" s="11" t="s">
        <v>602</v>
      </c>
      <c r="B235" s="12">
        <v>46000</v>
      </c>
      <c r="C235" s="11" t="s">
        <v>603</v>
      </c>
      <c r="D235" s="11" t="s">
        <v>604</v>
      </c>
      <c r="E235" s="11" t="s">
        <v>66</v>
      </c>
      <c r="F235" s="11" t="s">
        <v>31</v>
      </c>
      <c r="G235" s="11">
        <v>1</v>
      </c>
      <c r="H235" s="11">
        <v>3500</v>
      </c>
      <c r="I235" s="11">
        <v>0.15</v>
      </c>
      <c r="J235" s="11">
        <v>2975</v>
      </c>
      <c r="K235" s="11">
        <v>3065.26</v>
      </c>
      <c r="L235" s="11">
        <v>-90.26</v>
      </c>
      <c r="M235" s="11" t="s">
        <v>43</v>
      </c>
      <c r="N235" s="11" t="s">
        <v>44</v>
      </c>
      <c r="O235" s="11" t="s">
        <v>45</v>
      </c>
      <c r="P235" s="11" t="s">
        <v>46</v>
      </c>
      <c r="Q235" s="11" t="s">
        <v>26</v>
      </c>
    </row>
    <row r="236" spans="1:17" x14ac:dyDescent="0.25">
      <c r="A236" s="11" t="s">
        <v>605</v>
      </c>
      <c r="B236" s="12">
        <v>45778</v>
      </c>
      <c r="C236" s="11" t="s">
        <v>263</v>
      </c>
      <c r="D236" s="11" t="s">
        <v>264</v>
      </c>
      <c r="E236" s="11" t="s">
        <v>158</v>
      </c>
      <c r="F236" s="11" t="s">
        <v>21</v>
      </c>
      <c r="G236" s="11">
        <v>3</v>
      </c>
      <c r="H236" s="11">
        <v>55000</v>
      </c>
      <c r="I236" s="11">
        <v>0.15</v>
      </c>
      <c r="J236" s="11">
        <v>140250</v>
      </c>
      <c r="K236" s="11">
        <v>117382.43</v>
      </c>
      <c r="L236" s="11">
        <v>22867.57</v>
      </c>
      <c r="M236" s="11" t="s">
        <v>70</v>
      </c>
      <c r="N236" s="11" t="s">
        <v>71</v>
      </c>
      <c r="O236" s="11" t="s">
        <v>45</v>
      </c>
      <c r="P236" s="11" t="s">
        <v>46</v>
      </c>
      <c r="Q236" s="11" t="s">
        <v>47</v>
      </c>
    </row>
    <row r="237" spans="1:17" x14ac:dyDescent="0.25">
      <c r="A237" s="11" t="s">
        <v>606</v>
      </c>
      <c r="B237" s="12">
        <v>46012</v>
      </c>
      <c r="C237" s="11" t="s">
        <v>125</v>
      </c>
      <c r="D237" s="11" t="s">
        <v>126</v>
      </c>
      <c r="E237" s="11" t="s">
        <v>158</v>
      </c>
      <c r="F237" s="11" t="s">
        <v>21</v>
      </c>
      <c r="G237" s="11">
        <v>3</v>
      </c>
      <c r="H237" s="11">
        <v>55000</v>
      </c>
      <c r="I237" s="11">
        <v>0.1</v>
      </c>
      <c r="J237" s="11">
        <v>148500</v>
      </c>
      <c r="K237" s="11">
        <v>132592.48000000001</v>
      </c>
      <c r="L237" s="11">
        <v>15907.52</v>
      </c>
      <c r="M237" s="11" t="s">
        <v>22</v>
      </c>
      <c r="N237" s="11" t="s">
        <v>23</v>
      </c>
      <c r="O237" s="11" t="s">
        <v>45</v>
      </c>
      <c r="P237" s="11" t="s">
        <v>46</v>
      </c>
      <c r="Q237" s="11" t="s">
        <v>26</v>
      </c>
    </row>
    <row r="238" spans="1:17" x14ac:dyDescent="0.25">
      <c r="A238" s="11" t="s">
        <v>607</v>
      </c>
      <c r="B238" s="12">
        <v>46011</v>
      </c>
      <c r="C238" s="11" t="s">
        <v>359</v>
      </c>
      <c r="D238" s="11" t="s">
        <v>360</v>
      </c>
      <c r="E238" s="11" t="s">
        <v>85</v>
      </c>
      <c r="F238" s="11" t="s">
        <v>86</v>
      </c>
      <c r="G238" s="11">
        <v>5</v>
      </c>
      <c r="H238" s="11">
        <v>450</v>
      </c>
      <c r="I238" s="11">
        <v>0.1</v>
      </c>
      <c r="J238" s="11">
        <v>2025</v>
      </c>
      <c r="K238" s="11">
        <v>1936.6</v>
      </c>
      <c r="L238" s="11">
        <v>88.4</v>
      </c>
      <c r="M238" s="11" t="s">
        <v>43</v>
      </c>
      <c r="N238" s="11" t="s">
        <v>44</v>
      </c>
      <c r="O238" s="11" t="s">
        <v>24</v>
      </c>
      <c r="P238" s="11" t="s">
        <v>46</v>
      </c>
      <c r="Q238" s="11" t="s">
        <v>47</v>
      </c>
    </row>
    <row r="239" spans="1:17" x14ac:dyDescent="0.25">
      <c r="A239" s="11" t="s">
        <v>608</v>
      </c>
      <c r="B239" s="12">
        <v>45902</v>
      </c>
      <c r="C239" s="11" t="s">
        <v>386</v>
      </c>
      <c r="D239" s="11" t="s">
        <v>387</v>
      </c>
      <c r="E239" s="11" t="s">
        <v>116</v>
      </c>
      <c r="F239" s="11" t="s">
        <v>94</v>
      </c>
      <c r="G239" s="11">
        <v>2</v>
      </c>
      <c r="H239" s="11">
        <v>1800</v>
      </c>
      <c r="I239" s="11">
        <v>0.05</v>
      </c>
      <c r="J239" s="11">
        <v>3420</v>
      </c>
      <c r="K239" s="11">
        <v>2959.12</v>
      </c>
      <c r="L239" s="11">
        <v>460.88</v>
      </c>
      <c r="M239" s="11" t="s">
        <v>80</v>
      </c>
      <c r="N239" s="11" t="s">
        <v>81</v>
      </c>
      <c r="O239" s="11" t="s">
        <v>24</v>
      </c>
      <c r="P239" s="11" t="s">
        <v>46</v>
      </c>
      <c r="Q239" s="11" t="s">
        <v>26</v>
      </c>
    </row>
    <row r="240" spans="1:17" x14ac:dyDescent="0.25">
      <c r="A240" s="11" t="s">
        <v>609</v>
      </c>
      <c r="B240" s="12">
        <v>45784</v>
      </c>
      <c r="C240" s="11" t="s">
        <v>440</v>
      </c>
      <c r="D240" s="11" t="s">
        <v>441</v>
      </c>
      <c r="E240" s="11" t="s">
        <v>123</v>
      </c>
      <c r="F240" s="11" t="s">
        <v>21</v>
      </c>
      <c r="G240" s="11">
        <v>5</v>
      </c>
      <c r="H240" s="11">
        <v>2200</v>
      </c>
      <c r="I240" s="11">
        <v>0.05</v>
      </c>
      <c r="J240" s="11">
        <v>10450</v>
      </c>
      <c r="K240" s="11">
        <v>8280.27</v>
      </c>
      <c r="L240" s="11">
        <v>2169.73</v>
      </c>
      <c r="M240" s="11" t="s">
        <v>43</v>
      </c>
      <c r="N240" s="11" t="s">
        <v>44</v>
      </c>
      <c r="O240" s="11" t="s">
        <v>32</v>
      </c>
      <c r="P240" s="11" t="s">
        <v>46</v>
      </c>
      <c r="Q240" s="11" t="s">
        <v>26</v>
      </c>
    </row>
    <row r="241" spans="1:17" x14ac:dyDescent="0.25">
      <c r="A241" s="11" t="s">
        <v>610</v>
      </c>
      <c r="B241" s="12">
        <v>45916</v>
      </c>
      <c r="C241" s="11" t="s">
        <v>434</v>
      </c>
      <c r="D241" s="11" t="s">
        <v>435</v>
      </c>
      <c r="E241" s="11" t="s">
        <v>20</v>
      </c>
      <c r="F241" s="11" t="s">
        <v>21</v>
      </c>
      <c r="G241" s="11">
        <v>1</v>
      </c>
      <c r="H241" s="11">
        <v>4500</v>
      </c>
      <c r="I241" s="13">
        <v>0.2</v>
      </c>
      <c r="J241" s="11">
        <v>3600</v>
      </c>
      <c r="K241" s="11">
        <v>3480.44</v>
      </c>
      <c r="L241" s="11">
        <v>119.56</v>
      </c>
      <c r="M241" s="11" t="s">
        <v>22</v>
      </c>
      <c r="N241" s="11" t="s">
        <v>23</v>
      </c>
      <c r="O241" s="11" t="s">
        <v>45</v>
      </c>
      <c r="P241" s="11" t="s">
        <v>46</v>
      </c>
      <c r="Q241" s="11" t="s">
        <v>47</v>
      </c>
    </row>
    <row r="242" spans="1:17" x14ac:dyDescent="0.25">
      <c r="A242" s="11" t="s">
        <v>611</v>
      </c>
      <c r="B242" s="12">
        <v>45956</v>
      </c>
      <c r="C242" s="11" t="s">
        <v>39</v>
      </c>
      <c r="D242" s="11" t="s">
        <v>40</v>
      </c>
      <c r="E242" s="11" t="s">
        <v>131</v>
      </c>
      <c r="F242" s="11" t="s">
        <v>21</v>
      </c>
      <c r="G242" s="11">
        <v>1</v>
      </c>
      <c r="H242" s="11">
        <v>1600</v>
      </c>
      <c r="I242" s="11">
        <v>0.05</v>
      </c>
      <c r="J242" s="11">
        <v>1520</v>
      </c>
      <c r="K242" s="11">
        <v>1370.79</v>
      </c>
      <c r="L242" s="11">
        <v>149.21</v>
      </c>
      <c r="M242" s="11" t="s">
        <v>70</v>
      </c>
      <c r="N242" s="11" t="s">
        <v>71</v>
      </c>
      <c r="O242" s="11" t="s">
        <v>45</v>
      </c>
      <c r="P242" s="11" t="s">
        <v>55</v>
      </c>
      <c r="Q242" s="11" t="s">
        <v>26</v>
      </c>
    </row>
    <row r="243" spans="1:17" x14ac:dyDescent="0.25">
      <c r="A243" s="11" t="s">
        <v>612</v>
      </c>
      <c r="B243" s="12">
        <v>45891</v>
      </c>
      <c r="C243" s="11" t="s">
        <v>166</v>
      </c>
      <c r="D243" s="11" t="s">
        <v>167</v>
      </c>
      <c r="E243" s="11" t="s">
        <v>107</v>
      </c>
      <c r="F243" s="11" t="s">
        <v>108</v>
      </c>
      <c r="G243" s="11">
        <v>5</v>
      </c>
      <c r="H243" s="11">
        <v>1400</v>
      </c>
      <c r="I243" s="11">
        <v>0.15</v>
      </c>
      <c r="J243" s="11">
        <v>5950</v>
      </c>
      <c r="K243" s="11">
        <v>5294.43</v>
      </c>
      <c r="L243" s="11">
        <v>655.57</v>
      </c>
      <c r="M243" s="11" t="s">
        <v>99</v>
      </c>
      <c r="N243" s="11" t="s">
        <v>71</v>
      </c>
      <c r="O243" s="11" t="s">
        <v>24</v>
      </c>
      <c r="P243" s="11" t="s">
        <v>55</v>
      </c>
      <c r="Q243" s="11" t="s">
        <v>26</v>
      </c>
    </row>
    <row r="244" spans="1:17" x14ac:dyDescent="0.25">
      <c r="A244" s="11" t="s">
        <v>613</v>
      </c>
      <c r="B244" s="12">
        <v>45954</v>
      </c>
      <c r="C244" s="11" t="s">
        <v>52</v>
      </c>
      <c r="D244" s="11" t="s">
        <v>53</v>
      </c>
      <c r="E244" s="11" t="s">
        <v>41</v>
      </c>
      <c r="F244" s="11" t="s">
        <v>42</v>
      </c>
      <c r="G244" s="11">
        <v>1</v>
      </c>
      <c r="H244" s="11">
        <v>7500</v>
      </c>
      <c r="I244" s="11">
        <v>0.05</v>
      </c>
      <c r="J244" s="11">
        <v>7125</v>
      </c>
      <c r="K244" s="11">
        <v>5605.88</v>
      </c>
      <c r="L244" s="11">
        <v>1519.12</v>
      </c>
      <c r="M244" s="11" t="s">
        <v>43</v>
      </c>
      <c r="N244" s="11" t="s">
        <v>44</v>
      </c>
      <c r="O244" s="11" t="s">
        <v>32</v>
      </c>
      <c r="P244" s="11" t="s">
        <v>55</v>
      </c>
      <c r="Q244" s="11" t="s">
        <v>47</v>
      </c>
    </row>
    <row r="245" spans="1:17" x14ac:dyDescent="0.25">
      <c r="A245" s="11" t="s">
        <v>614</v>
      </c>
      <c r="B245" s="12">
        <v>45674</v>
      </c>
      <c r="C245" s="11" t="s">
        <v>309</v>
      </c>
      <c r="D245" s="11" t="s">
        <v>310</v>
      </c>
      <c r="E245" s="11" t="s">
        <v>141</v>
      </c>
      <c r="F245" s="11" t="s">
        <v>21</v>
      </c>
      <c r="G245" s="11">
        <v>1</v>
      </c>
      <c r="H245" s="11">
        <v>22000</v>
      </c>
      <c r="I245" s="13">
        <v>0.15</v>
      </c>
      <c r="J245" s="11">
        <v>18700</v>
      </c>
      <c r="K245" s="11">
        <v>15210.71</v>
      </c>
      <c r="L245" s="11">
        <v>3489.29</v>
      </c>
      <c r="M245" s="11" t="s">
        <v>36</v>
      </c>
      <c r="N245" s="11" t="s">
        <v>23</v>
      </c>
      <c r="O245" s="11" t="s">
        <v>24</v>
      </c>
      <c r="P245" s="11" t="s">
        <v>37</v>
      </c>
      <c r="Q245" s="11" t="s">
        <v>26</v>
      </c>
    </row>
    <row r="246" spans="1:17" x14ac:dyDescent="0.25">
      <c r="A246" s="11" t="s">
        <v>615</v>
      </c>
      <c r="B246" s="12">
        <v>45850</v>
      </c>
      <c r="C246" s="11" t="s">
        <v>447</v>
      </c>
      <c r="D246" s="11" t="s">
        <v>448</v>
      </c>
      <c r="E246" s="11" t="s">
        <v>85</v>
      </c>
      <c r="F246" s="11" t="s">
        <v>86</v>
      </c>
      <c r="G246" s="11">
        <v>4</v>
      </c>
      <c r="H246" s="11">
        <v>450</v>
      </c>
      <c r="I246" s="11">
        <v>0.15</v>
      </c>
      <c r="J246" s="11">
        <v>1530</v>
      </c>
      <c r="K246" s="11">
        <v>1569.16</v>
      </c>
      <c r="L246" s="11">
        <v>-39.159999999999997</v>
      </c>
      <c r="M246" s="11" t="s">
        <v>43</v>
      </c>
      <c r="N246" s="11" t="s">
        <v>44</v>
      </c>
      <c r="O246" s="11" t="s">
        <v>32</v>
      </c>
      <c r="P246" s="11" t="s">
        <v>95</v>
      </c>
      <c r="Q246" s="11" t="s">
        <v>60</v>
      </c>
    </row>
    <row r="247" spans="1:17" x14ac:dyDescent="0.25">
      <c r="A247" s="11" t="s">
        <v>616</v>
      </c>
      <c r="B247" s="12">
        <v>45933</v>
      </c>
      <c r="C247" s="11" t="s">
        <v>105</v>
      </c>
      <c r="D247" s="11" t="s">
        <v>106</v>
      </c>
      <c r="E247" s="11" t="s">
        <v>54</v>
      </c>
      <c r="F247" s="11" t="s">
        <v>31</v>
      </c>
      <c r="G247" s="11">
        <v>1</v>
      </c>
      <c r="H247" s="11">
        <v>2800</v>
      </c>
      <c r="I247" s="13">
        <v>0.05</v>
      </c>
      <c r="J247" s="11">
        <v>2660</v>
      </c>
      <c r="K247" s="11">
        <v>1902.01</v>
      </c>
      <c r="L247" s="11">
        <v>757.99</v>
      </c>
      <c r="M247" s="11" t="s">
        <v>75</v>
      </c>
      <c r="N247" s="11" t="s">
        <v>76</v>
      </c>
      <c r="O247" s="11" t="s">
        <v>45</v>
      </c>
      <c r="P247" s="11" t="s">
        <v>55</v>
      </c>
      <c r="Q247" s="11" t="s">
        <v>26</v>
      </c>
    </row>
    <row r="248" spans="1:17" x14ac:dyDescent="0.25">
      <c r="A248" s="11" t="s">
        <v>617</v>
      </c>
      <c r="B248" s="12">
        <v>45875</v>
      </c>
      <c r="C248" s="11" t="s">
        <v>618</v>
      </c>
      <c r="D248" s="11" t="s">
        <v>619</v>
      </c>
      <c r="E248" s="11" t="s">
        <v>103</v>
      </c>
      <c r="F248" s="11" t="s">
        <v>42</v>
      </c>
      <c r="G248" s="11">
        <v>4</v>
      </c>
      <c r="H248" s="11">
        <v>6000</v>
      </c>
      <c r="I248" s="11">
        <v>0.2</v>
      </c>
      <c r="J248" s="11">
        <v>19200</v>
      </c>
      <c r="K248" s="11">
        <v>16867.75</v>
      </c>
      <c r="L248" s="11">
        <v>2332.25</v>
      </c>
      <c r="M248" s="11" t="s">
        <v>75</v>
      </c>
      <c r="N248" s="11" t="s">
        <v>76</v>
      </c>
      <c r="O248" s="11" t="s">
        <v>32</v>
      </c>
      <c r="P248" s="11" t="s">
        <v>46</v>
      </c>
      <c r="Q248" s="11" t="s">
        <v>26</v>
      </c>
    </row>
    <row r="249" spans="1:17" x14ac:dyDescent="0.25">
      <c r="A249" s="11" t="s">
        <v>620</v>
      </c>
      <c r="B249" s="12">
        <v>45674</v>
      </c>
      <c r="C249" s="11" t="s">
        <v>621</v>
      </c>
      <c r="D249" s="11" t="s">
        <v>622</v>
      </c>
      <c r="E249" s="11" t="s">
        <v>41</v>
      </c>
      <c r="F249" s="11" t="s">
        <v>42</v>
      </c>
      <c r="G249" s="11">
        <v>2</v>
      </c>
      <c r="H249" s="11">
        <v>7500</v>
      </c>
      <c r="I249" s="13">
        <v>0</v>
      </c>
      <c r="J249" s="11">
        <v>15000</v>
      </c>
      <c r="K249" s="11">
        <v>12392.88</v>
      </c>
      <c r="L249" s="11">
        <v>2607.12</v>
      </c>
      <c r="M249" s="11" t="s">
        <v>75</v>
      </c>
      <c r="N249" s="11" t="s">
        <v>76</v>
      </c>
      <c r="O249" s="11" t="s">
        <v>32</v>
      </c>
      <c r="P249" s="11" t="s">
        <v>95</v>
      </c>
      <c r="Q249" s="11" t="s">
        <v>26</v>
      </c>
    </row>
    <row r="250" spans="1:17" x14ac:dyDescent="0.25">
      <c r="A250" s="11" t="s">
        <v>623</v>
      </c>
      <c r="B250" s="12">
        <v>45675</v>
      </c>
      <c r="C250" s="11" t="s">
        <v>97</v>
      </c>
      <c r="D250" s="11" t="s">
        <v>98</v>
      </c>
      <c r="E250" s="11" t="s">
        <v>62</v>
      </c>
      <c r="F250" s="11" t="s">
        <v>21</v>
      </c>
      <c r="G250" s="11">
        <v>1</v>
      </c>
      <c r="H250" s="11">
        <v>1800</v>
      </c>
      <c r="I250" s="13">
        <v>0.2</v>
      </c>
      <c r="J250" s="11">
        <v>1440</v>
      </c>
      <c r="K250" s="11">
        <v>1448.22</v>
      </c>
      <c r="L250" s="11">
        <v>-8.2200000000000006</v>
      </c>
      <c r="M250" s="11" t="s">
        <v>70</v>
      </c>
      <c r="N250" s="11" t="s">
        <v>71</v>
      </c>
      <c r="O250" s="11" t="s">
        <v>32</v>
      </c>
      <c r="P250" s="11" t="s">
        <v>95</v>
      </c>
      <c r="Q250" s="11" t="s">
        <v>60</v>
      </c>
    </row>
    <row r="251" spans="1:17" x14ac:dyDescent="0.25">
      <c r="A251" s="11" t="s">
        <v>624</v>
      </c>
      <c r="B251" s="12">
        <v>45777</v>
      </c>
      <c r="C251" s="11" t="s">
        <v>242</v>
      </c>
      <c r="D251" s="11" t="s">
        <v>243</v>
      </c>
      <c r="E251" s="11" t="s">
        <v>141</v>
      </c>
      <c r="F251" s="11" t="s">
        <v>21</v>
      </c>
      <c r="G251" s="11">
        <v>4</v>
      </c>
      <c r="H251" s="11">
        <v>22000</v>
      </c>
      <c r="I251" s="13">
        <v>0.15</v>
      </c>
      <c r="J251" s="11">
        <v>74800</v>
      </c>
      <c r="K251" s="11">
        <v>74681.899999999994</v>
      </c>
      <c r="L251" s="11">
        <v>118.1</v>
      </c>
      <c r="M251" s="11" t="s">
        <v>22</v>
      </c>
      <c r="N251" s="11" t="s">
        <v>23</v>
      </c>
      <c r="O251" s="11" t="s">
        <v>32</v>
      </c>
      <c r="P251" s="11" t="s">
        <v>95</v>
      </c>
      <c r="Q251" s="11" t="s">
        <v>47</v>
      </c>
    </row>
    <row r="252" spans="1:17" x14ac:dyDescent="0.25">
      <c r="A252" s="11" t="s">
        <v>625</v>
      </c>
      <c r="B252" s="12">
        <v>45821</v>
      </c>
      <c r="C252" s="11" t="s">
        <v>362</v>
      </c>
      <c r="D252" s="11" t="s">
        <v>363</v>
      </c>
      <c r="E252" s="11" t="s">
        <v>103</v>
      </c>
      <c r="F252" s="11" t="s">
        <v>42</v>
      </c>
      <c r="G252" s="11">
        <v>2</v>
      </c>
      <c r="H252" s="11">
        <v>6000</v>
      </c>
      <c r="I252" s="13">
        <v>0.2</v>
      </c>
      <c r="J252" s="11">
        <v>9600</v>
      </c>
      <c r="K252" s="11">
        <v>8632.8700000000008</v>
      </c>
      <c r="L252" s="11">
        <v>967.13</v>
      </c>
      <c r="M252" s="11" t="s">
        <v>59</v>
      </c>
      <c r="N252" s="11" t="s">
        <v>59</v>
      </c>
      <c r="O252" s="11" t="s">
        <v>24</v>
      </c>
      <c r="P252" s="11" t="s">
        <v>25</v>
      </c>
      <c r="Q252" s="11" t="s">
        <v>26</v>
      </c>
    </row>
    <row r="253" spans="1:17" x14ac:dyDescent="0.25">
      <c r="A253" s="11" t="s">
        <v>626</v>
      </c>
      <c r="B253" s="12">
        <v>45689</v>
      </c>
      <c r="C253" s="11" t="s">
        <v>627</v>
      </c>
      <c r="D253" s="11" t="s">
        <v>628</v>
      </c>
      <c r="E253" s="11" t="s">
        <v>30</v>
      </c>
      <c r="F253" s="11" t="s">
        <v>31</v>
      </c>
      <c r="G253" s="11">
        <v>3</v>
      </c>
      <c r="H253" s="11">
        <v>1200</v>
      </c>
      <c r="I253" s="11">
        <v>0.1</v>
      </c>
      <c r="J253" s="11">
        <v>3240</v>
      </c>
      <c r="K253" s="11">
        <v>2902.01</v>
      </c>
      <c r="L253" s="11">
        <v>337.99</v>
      </c>
      <c r="M253" s="11" t="s">
        <v>80</v>
      </c>
      <c r="N253" s="11" t="s">
        <v>81</v>
      </c>
      <c r="O253" s="11" t="s">
        <v>45</v>
      </c>
      <c r="P253" s="11" t="s">
        <v>37</v>
      </c>
      <c r="Q253" s="11" t="s">
        <v>26</v>
      </c>
    </row>
    <row r="254" spans="1:17" x14ac:dyDescent="0.25">
      <c r="A254" s="11" t="s">
        <v>629</v>
      </c>
      <c r="B254" s="12">
        <v>45821</v>
      </c>
      <c r="C254" s="11" t="s">
        <v>309</v>
      </c>
      <c r="D254" s="11" t="s">
        <v>310</v>
      </c>
      <c r="E254" s="11" t="s">
        <v>54</v>
      </c>
      <c r="F254" s="11" t="s">
        <v>31</v>
      </c>
      <c r="G254" s="11">
        <v>4</v>
      </c>
      <c r="H254" s="11">
        <v>2800</v>
      </c>
      <c r="I254" s="11">
        <v>0.2</v>
      </c>
      <c r="J254" s="11">
        <v>8960</v>
      </c>
      <c r="K254" s="11">
        <v>7664.38</v>
      </c>
      <c r="L254" s="11">
        <v>1295.6199999999999</v>
      </c>
      <c r="M254" s="11" t="s">
        <v>75</v>
      </c>
      <c r="N254" s="11" t="s">
        <v>76</v>
      </c>
      <c r="O254" s="11" t="s">
        <v>32</v>
      </c>
      <c r="P254" s="11" t="s">
        <v>95</v>
      </c>
      <c r="Q254" s="11" t="s">
        <v>47</v>
      </c>
    </row>
    <row r="255" spans="1:17" x14ac:dyDescent="0.25">
      <c r="A255" s="11" t="s">
        <v>630</v>
      </c>
      <c r="B255" s="12">
        <v>45811</v>
      </c>
      <c r="C255" s="11" t="s">
        <v>417</v>
      </c>
      <c r="D255" s="11" t="s">
        <v>418</v>
      </c>
      <c r="E255" s="11" t="s">
        <v>123</v>
      </c>
      <c r="F255" s="11" t="s">
        <v>21</v>
      </c>
      <c r="G255" s="11">
        <v>2</v>
      </c>
      <c r="H255" s="11">
        <v>2200</v>
      </c>
      <c r="I255" s="13">
        <v>0.05</v>
      </c>
      <c r="J255" s="11">
        <v>4180</v>
      </c>
      <c r="K255" s="11">
        <v>3328.58</v>
      </c>
      <c r="L255" s="11">
        <v>851.42</v>
      </c>
      <c r="M255" s="11" t="s">
        <v>80</v>
      </c>
      <c r="N255" s="11" t="s">
        <v>81</v>
      </c>
      <c r="O255" s="11" t="s">
        <v>45</v>
      </c>
      <c r="P255" s="11" t="s">
        <v>25</v>
      </c>
      <c r="Q255" s="11" t="s">
        <v>26</v>
      </c>
    </row>
    <row r="256" spans="1:17" x14ac:dyDescent="0.25">
      <c r="A256" s="11" t="s">
        <v>631</v>
      </c>
      <c r="B256" s="12">
        <v>45726</v>
      </c>
      <c r="C256" s="11" t="s">
        <v>587</v>
      </c>
      <c r="D256" s="11" t="s">
        <v>588</v>
      </c>
      <c r="E256" s="11" t="s">
        <v>30</v>
      </c>
      <c r="F256" s="11" t="s">
        <v>31</v>
      </c>
      <c r="G256" s="11">
        <v>5</v>
      </c>
      <c r="H256" s="11">
        <v>1200</v>
      </c>
      <c r="I256" s="11">
        <v>0.2</v>
      </c>
      <c r="J256" s="11">
        <v>4800</v>
      </c>
      <c r="K256" s="11">
        <v>4251.8900000000003</v>
      </c>
      <c r="L256" s="11">
        <v>548.11</v>
      </c>
      <c r="M256" s="11" t="s">
        <v>75</v>
      </c>
      <c r="N256" s="11" t="s">
        <v>76</v>
      </c>
      <c r="O256" s="11" t="s">
        <v>24</v>
      </c>
      <c r="P256" s="11" t="s">
        <v>55</v>
      </c>
      <c r="Q256" s="11" t="s">
        <v>26</v>
      </c>
    </row>
    <row r="257" spans="1:17" x14ac:dyDescent="0.25">
      <c r="A257" s="11" t="s">
        <v>632</v>
      </c>
      <c r="B257" s="12">
        <v>45755</v>
      </c>
      <c r="C257" s="11" t="s">
        <v>633</v>
      </c>
      <c r="D257" s="11" t="s">
        <v>634</v>
      </c>
      <c r="E257" s="11" t="s">
        <v>54</v>
      </c>
      <c r="F257" s="11" t="s">
        <v>31</v>
      </c>
      <c r="G257" s="11">
        <v>1</v>
      </c>
      <c r="H257" s="11">
        <v>2800</v>
      </c>
      <c r="I257" s="11">
        <v>0.2</v>
      </c>
      <c r="J257" s="11">
        <v>2240</v>
      </c>
      <c r="K257" s="11">
        <v>2062.9</v>
      </c>
      <c r="L257" s="11">
        <v>177.1</v>
      </c>
      <c r="M257" s="11" t="s">
        <v>99</v>
      </c>
      <c r="N257" s="11" t="s">
        <v>71</v>
      </c>
      <c r="O257" s="11" t="s">
        <v>45</v>
      </c>
      <c r="P257" s="11" t="s">
        <v>25</v>
      </c>
      <c r="Q257" s="11" t="s">
        <v>26</v>
      </c>
    </row>
    <row r="258" spans="1:17" x14ac:dyDescent="0.25">
      <c r="A258" s="11" t="s">
        <v>635</v>
      </c>
      <c r="B258" s="12">
        <v>46001</v>
      </c>
      <c r="C258" s="11" t="s">
        <v>636</v>
      </c>
      <c r="D258" s="11" t="s">
        <v>637</v>
      </c>
      <c r="E258" s="11" t="s">
        <v>62</v>
      </c>
      <c r="F258" s="11" t="s">
        <v>21</v>
      </c>
      <c r="G258" s="11">
        <v>2</v>
      </c>
      <c r="H258" s="11">
        <v>1800</v>
      </c>
      <c r="I258" s="11">
        <v>0.2</v>
      </c>
      <c r="J258" s="11">
        <v>2880</v>
      </c>
      <c r="K258" s="11">
        <v>2512.96</v>
      </c>
      <c r="L258" s="11">
        <v>367.04</v>
      </c>
      <c r="M258" s="11" t="s">
        <v>22</v>
      </c>
      <c r="N258" s="11" t="s">
        <v>23</v>
      </c>
      <c r="O258" s="11" t="s">
        <v>32</v>
      </c>
      <c r="P258" s="11" t="s">
        <v>46</v>
      </c>
      <c r="Q258" s="11" t="s">
        <v>26</v>
      </c>
    </row>
    <row r="259" spans="1:17" x14ac:dyDescent="0.25">
      <c r="A259" s="11" t="s">
        <v>638</v>
      </c>
      <c r="B259" s="12">
        <v>45903</v>
      </c>
      <c r="C259" s="11" t="s">
        <v>281</v>
      </c>
      <c r="D259" s="11" t="s">
        <v>282</v>
      </c>
      <c r="E259" s="11" t="s">
        <v>112</v>
      </c>
      <c r="F259" s="11" t="s">
        <v>94</v>
      </c>
      <c r="G259" s="11">
        <v>2</v>
      </c>
      <c r="H259" s="11">
        <v>800</v>
      </c>
      <c r="I259" s="13">
        <v>0</v>
      </c>
      <c r="J259" s="11">
        <v>1600</v>
      </c>
      <c r="K259" s="11">
        <v>1262.42</v>
      </c>
      <c r="L259" s="11">
        <v>337.58</v>
      </c>
      <c r="M259" s="11" t="s">
        <v>22</v>
      </c>
      <c r="N259" s="11" t="s">
        <v>23</v>
      </c>
      <c r="O259" s="11" t="s">
        <v>24</v>
      </c>
      <c r="P259" s="11" t="s">
        <v>37</v>
      </c>
      <c r="Q259" s="11" t="s">
        <v>26</v>
      </c>
    </row>
    <row r="260" spans="1:17" x14ac:dyDescent="0.25">
      <c r="A260" s="11" t="s">
        <v>639</v>
      </c>
      <c r="B260" s="12">
        <v>45896</v>
      </c>
      <c r="C260" s="11" t="s">
        <v>291</v>
      </c>
      <c r="D260" s="11" t="s">
        <v>292</v>
      </c>
      <c r="E260" s="11" t="s">
        <v>66</v>
      </c>
      <c r="F260" s="11" t="s">
        <v>31</v>
      </c>
      <c r="G260" s="11">
        <v>3</v>
      </c>
      <c r="H260" s="11">
        <v>3500</v>
      </c>
      <c r="I260" s="11">
        <v>0.15</v>
      </c>
      <c r="J260" s="11">
        <v>8925</v>
      </c>
      <c r="K260" s="11">
        <v>7456.67</v>
      </c>
      <c r="L260" s="11">
        <v>1468.33</v>
      </c>
      <c r="M260" s="11" t="s">
        <v>59</v>
      </c>
      <c r="N260" s="11" t="s">
        <v>59</v>
      </c>
      <c r="O260" s="11" t="s">
        <v>24</v>
      </c>
      <c r="P260" s="11" t="s">
        <v>37</v>
      </c>
      <c r="Q260" s="11" t="s">
        <v>26</v>
      </c>
    </row>
    <row r="261" spans="1:17" x14ac:dyDescent="0.25">
      <c r="A261" s="11" t="s">
        <v>640</v>
      </c>
      <c r="B261" s="12">
        <v>45762</v>
      </c>
      <c r="C261" s="11" t="s">
        <v>641</v>
      </c>
      <c r="D261" s="11" t="s">
        <v>642</v>
      </c>
      <c r="E261" s="11" t="s">
        <v>20</v>
      </c>
      <c r="F261" s="11" t="s">
        <v>21</v>
      </c>
      <c r="G261" s="11">
        <v>4</v>
      </c>
      <c r="H261" s="11">
        <v>4500</v>
      </c>
      <c r="I261" s="11">
        <v>0.1</v>
      </c>
      <c r="J261" s="11">
        <v>16200</v>
      </c>
      <c r="K261" s="11">
        <v>13413.67</v>
      </c>
      <c r="L261" s="11">
        <v>2786.33</v>
      </c>
      <c r="M261" s="11" t="s">
        <v>59</v>
      </c>
      <c r="N261" s="11" t="s">
        <v>59</v>
      </c>
      <c r="O261" s="11" t="s">
        <v>45</v>
      </c>
      <c r="P261" s="11" t="s">
        <v>95</v>
      </c>
      <c r="Q261" s="11" t="s">
        <v>60</v>
      </c>
    </row>
    <row r="262" spans="1:17" x14ac:dyDescent="0.25">
      <c r="A262" s="11" t="s">
        <v>643</v>
      </c>
      <c r="B262" s="12">
        <v>45941</v>
      </c>
      <c r="C262" s="11" t="s">
        <v>470</v>
      </c>
      <c r="D262" s="11" t="s">
        <v>471</v>
      </c>
      <c r="E262" s="11" t="s">
        <v>107</v>
      </c>
      <c r="F262" s="11" t="s">
        <v>108</v>
      </c>
      <c r="G262" s="11">
        <v>1</v>
      </c>
      <c r="H262" s="11">
        <v>1400</v>
      </c>
      <c r="I262" s="11">
        <v>0.1</v>
      </c>
      <c r="J262" s="11">
        <v>1260</v>
      </c>
      <c r="K262" s="11">
        <v>959.08</v>
      </c>
      <c r="L262" s="11">
        <v>300.92</v>
      </c>
      <c r="M262" s="11" t="s">
        <v>75</v>
      </c>
      <c r="N262" s="11" t="s">
        <v>76</v>
      </c>
      <c r="O262" s="11" t="s">
        <v>45</v>
      </c>
      <c r="P262" s="11" t="s">
        <v>95</v>
      </c>
      <c r="Q262" s="11" t="s">
        <v>26</v>
      </c>
    </row>
    <row r="263" spans="1:17" x14ac:dyDescent="0.25">
      <c r="A263" s="11" t="s">
        <v>644</v>
      </c>
      <c r="B263" s="12">
        <v>45993</v>
      </c>
      <c r="C263" s="11" t="s">
        <v>645</v>
      </c>
      <c r="D263" s="11" t="s">
        <v>646</v>
      </c>
      <c r="E263" s="11" t="s">
        <v>116</v>
      </c>
      <c r="F263" s="11" t="s">
        <v>94</v>
      </c>
      <c r="G263" s="11">
        <v>4</v>
      </c>
      <c r="H263" s="11">
        <v>1800</v>
      </c>
      <c r="I263" s="11">
        <v>0.2</v>
      </c>
      <c r="J263" s="11">
        <v>5760</v>
      </c>
      <c r="K263" s="11">
        <v>5944.13</v>
      </c>
      <c r="L263" s="11">
        <v>-184.13</v>
      </c>
      <c r="M263" s="11" t="s">
        <v>59</v>
      </c>
      <c r="N263" s="11" t="s">
        <v>59</v>
      </c>
      <c r="O263" s="11" t="s">
        <v>24</v>
      </c>
      <c r="P263" s="11" t="s">
        <v>37</v>
      </c>
      <c r="Q263" s="11" t="s">
        <v>26</v>
      </c>
    </row>
    <row r="264" spans="1:17" x14ac:dyDescent="0.25">
      <c r="A264" s="11" t="s">
        <v>647</v>
      </c>
      <c r="B264" s="12">
        <v>45729</v>
      </c>
      <c r="C264" s="11" t="s">
        <v>603</v>
      </c>
      <c r="D264" s="11" t="s">
        <v>604</v>
      </c>
      <c r="E264" s="11" t="s">
        <v>93</v>
      </c>
      <c r="F264" s="11" t="s">
        <v>94</v>
      </c>
      <c r="G264" s="11">
        <v>3</v>
      </c>
      <c r="H264" s="11">
        <v>2800</v>
      </c>
      <c r="I264" s="11">
        <v>0.05</v>
      </c>
      <c r="J264" s="11">
        <v>7980</v>
      </c>
      <c r="K264" s="11">
        <v>7231.45</v>
      </c>
      <c r="L264" s="11">
        <v>748.55</v>
      </c>
      <c r="M264" s="11" t="s">
        <v>70</v>
      </c>
      <c r="N264" s="11" t="s">
        <v>71</v>
      </c>
      <c r="O264" s="11" t="s">
        <v>32</v>
      </c>
      <c r="P264" s="11" t="s">
        <v>55</v>
      </c>
      <c r="Q264" s="11" t="s">
        <v>47</v>
      </c>
    </row>
    <row r="265" spans="1:17" x14ac:dyDescent="0.25">
      <c r="A265" s="11" t="s">
        <v>648</v>
      </c>
      <c r="B265" s="12">
        <v>45661</v>
      </c>
      <c r="C265" s="11" t="s">
        <v>18</v>
      </c>
      <c r="D265" s="11" t="s">
        <v>19</v>
      </c>
      <c r="E265" s="11" t="s">
        <v>141</v>
      </c>
      <c r="F265" s="11" t="s">
        <v>21</v>
      </c>
      <c r="G265" s="11">
        <v>1</v>
      </c>
      <c r="H265" s="11">
        <v>22000</v>
      </c>
      <c r="I265" s="13">
        <v>0</v>
      </c>
      <c r="J265" s="11">
        <v>22000</v>
      </c>
      <c r="K265" s="11">
        <v>18563.28</v>
      </c>
      <c r="L265" s="11">
        <v>3436.72</v>
      </c>
      <c r="M265" s="11" t="s">
        <v>75</v>
      </c>
      <c r="N265" s="11" t="s">
        <v>76</v>
      </c>
      <c r="O265" s="11" t="s">
        <v>24</v>
      </c>
      <c r="P265" s="11" t="s">
        <v>55</v>
      </c>
      <c r="Q265" s="11" t="s">
        <v>60</v>
      </c>
    </row>
    <row r="266" spans="1:17" x14ac:dyDescent="0.25">
      <c r="A266" s="11" t="s">
        <v>649</v>
      </c>
      <c r="B266" s="12">
        <v>45916</v>
      </c>
      <c r="C266" s="11" t="s">
        <v>650</v>
      </c>
      <c r="D266" s="11" t="s">
        <v>651</v>
      </c>
      <c r="E266" s="11" t="s">
        <v>107</v>
      </c>
      <c r="F266" s="11" t="s">
        <v>108</v>
      </c>
      <c r="G266" s="11">
        <v>1</v>
      </c>
      <c r="H266" s="11">
        <v>1400</v>
      </c>
      <c r="I266" s="11">
        <v>0.05</v>
      </c>
      <c r="J266" s="11">
        <v>1330</v>
      </c>
      <c r="K266" s="11">
        <v>929.46</v>
      </c>
      <c r="L266" s="11">
        <v>400.54</v>
      </c>
      <c r="M266" s="11" t="s">
        <v>70</v>
      </c>
      <c r="N266" s="11" t="s">
        <v>71</v>
      </c>
      <c r="O266" s="11" t="s">
        <v>24</v>
      </c>
      <c r="P266" s="11" t="s">
        <v>25</v>
      </c>
      <c r="Q266" s="11" t="s">
        <v>26</v>
      </c>
    </row>
    <row r="267" spans="1:17" x14ac:dyDescent="0.25">
      <c r="A267" s="11" t="s">
        <v>652</v>
      </c>
      <c r="B267" s="12">
        <v>45930</v>
      </c>
      <c r="C267" s="11" t="s">
        <v>653</v>
      </c>
      <c r="D267" s="11" t="s">
        <v>654</v>
      </c>
      <c r="E267" s="11" t="s">
        <v>123</v>
      </c>
      <c r="F267" s="11" t="s">
        <v>21</v>
      </c>
      <c r="G267" s="11">
        <v>1</v>
      </c>
      <c r="H267" s="11">
        <v>2200</v>
      </c>
      <c r="I267" s="11">
        <v>0</v>
      </c>
      <c r="J267" s="11">
        <v>2200</v>
      </c>
      <c r="K267" s="11">
        <v>1438.46</v>
      </c>
      <c r="L267" s="11">
        <v>761.54</v>
      </c>
      <c r="M267" s="11" t="s">
        <v>75</v>
      </c>
      <c r="N267" s="11" t="s">
        <v>76</v>
      </c>
      <c r="O267" s="11" t="s">
        <v>32</v>
      </c>
      <c r="P267" s="11" t="s">
        <v>46</v>
      </c>
      <c r="Q267" s="11" t="s">
        <v>47</v>
      </c>
    </row>
    <row r="268" spans="1:17" x14ac:dyDescent="0.25">
      <c r="A268" s="11" t="s">
        <v>655</v>
      </c>
      <c r="B268" s="12">
        <v>46015</v>
      </c>
      <c r="C268" s="11" t="s">
        <v>417</v>
      </c>
      <c r="D268" s="11" t="s">
        <v>418</v>
      </c>
      <c r="E268" s="11" t="s">
        <v>103</v>
      </c>
      <c r="F268" s="11" t="s">
        <v>42</v>
      </c>
      <c r="G268" s="11">
        <v>1</v>
      </c>
      <c r="H268" s="11">
        <v>6000</v>
      </c>
      <c r="I268" s="13">
        <v>0.2</v>
      </c>
      <c r="J268" s="11">
        <v>4800</v>
      </c>
      <c r="K268" s="11">
        <v>5196.8</v>
      </c>
      <c r="L268" s="11">
        <v>-396.8</v>
      </c>
      <c r="M268" s="11" t="s">
        <v>75</v>
      </c>
      <c r="N268" s="11" t="s">
        <v>76</v>
      </c>
      <c r="O268" s="11" t="s">
        <v>45</v>
      </c>
      <c r="P268" s="11" t="s">
        <v>55</v>
      </c>
      <c r="Q268" s="11" t="s">
        <v>26</v>
      </c>
    </row>
    <row r="269" spans="1:17" x14ac:dyDescent="0.25">
      <c r="A269" s="11" t="s">
        <v>656</v>
      </c>
      <c r="B269" s="12">
        <v>45975</v>
      </c>
      <c r="C269" s="11" t="s">
        <v>312</v>
      </c>
      <c r="D269" s="11" t="s">
        <v>313</v>
      </c>
      <c r="E269" s="11" t="s">
        <v>107</v>
      </c>
      <c r="F269" s="11" t="s">
        <v>108</v>
      </c>
      <c r="G269" s="11">
        <v>2</v>
      </c>
      <c r="H269" s="11">
        <v>1400</v>
      </c>
      <c r="I269" s="11">
        <v>0.05</v>
      </c>
      <c r="J269" s="11">
        <v>2660</v>
      </c>
      <c r="K269" s="11">
        <v>2048.2600000000002</v>
      </c>
      <c r="L269" s="11">
        <v>611.74</v>
      </c>
      <c r="M269" s="11" t="s">
        <v>36</v>
      </c>
      <c r="N269" s="11" t="s">
        <v>23</v>
      </c>
      <c r="O269" s="11" t="s">
        <v>32</v>
      </c>
      <c r="P269" s="11" t="s">
        <v>55</v>
      </c>
      <c r="Q269" s="11" t="s">
        <v>26</v>
      </c>
    </row>
    <row r="270" spans="1:17" x14ac:dyDescent="0.25">
      <c r="A270" s="11" t="s">
        <v>657</v>
      </c>
      <c r="B270" s="12">
        <v>45782</v>
      </c>
      <c r="C270" s="11" t="s">
        <v>536</v>
      </c>
      <c r="D270" s="11" t="s">
        <v>537</v>
      </c>
      <c r="E270" s="11" t="s">
        <v>85</v>
      </c>
      <c r="F270" s="11" t="s">
        <v>86</v>
      </c>
      <c r="G270" s="11">
        <v>4</v>
      </c>
      <c r="H270" s="11">
        <v>450</v>
      </c>
      <c r="I270" s="13">
        <v>0.2</v>
      </c>
      <c r="J270" s="11">
        <v>1440</v>
      </c>
      <c r="K270" s="11">
        <v>1453.19</v>
      </c>
      <c r="L270" s="11">
        <v>-13.19</v>
      </c>
      <c r="M270" s="11" t="s">
        <v>22</v>
      </c>
      <c r="N270" s="11" t="s">
        <v>23</v>
      </c>
      <c r="O270" s="11" t="s">
        <v>24</v>
      </c>
      <c r="P270" s="11" t="s">
        <v>55</v>
      </c>
      <c r="Q270" s="11" t="s">
        <v>26</v>
      </c>
    </row>
    <row r="271" spans="1:17" x14ac:dyDescent="0.25">
      <c r="A271" s="11" t="s">
        <v>658</v>
      </c>
      <c r="B271" s="12">
        <v>45940</v>
      </c>
      <c r="C271" s="11" t="s">
        <v>659</v>
      </c>
      <c r="D271" s="11" t="s">
        <v>660</v>
      </c>
      <c r="E271" s="11" t="s">
        <v>85</v>
      </c>
      <c r="F271" s="11" t="s">
        <v>86</v>
      </c>
      <c r="G271" s="11">
        <v>4</v>
      </c>
      <c r="H271" s="11">
        <v>450</v>
      </c>
      <c r="I271" s="11">
        <v>0.15</v>
      </c>
      <c r="J271" s="11">
        <v>1530</v>
      </c>
      <c r="K271" s="11">
        <v>1433.61</v>
      </c>
      <c r="L271" s="11">
        <v>96.39</v>
      </c>
      <c r="M271" s="11" t="s">
        <v>70</v>
      </c>
      <c r="N271" s="11" t="s">
        <v>71</v>
      </c>
      <c r="O271" s="11" t="s">
        <v>32</v>
      </c>
      <c r="P271" s="11" t="s">
        <v>95</v>
      </c>
      <c r="Q271" s="11" t="s">
        <v>26</v>
      </c>
    </row>
    <row r="272" spans="1:17" x14ac:dyDescent="0.25">
      <c r="A272" s="11" t="s">
        <v>661</v>
      </c>
      <c r="B272" s="12">
        <v>45947</v>
      </c>
      <c r="C272" s="11" t="s">
        <v>662</v>
      </c>
      <c r="D272" s="11" t="s">
        <v>663</v>
      </c>
      <c r="E272" s="11" t="s">
        <v>123</v>
      </c>
      <c r="F272" s="11" t="s">
        <v>21</v>
      </c>
      <c r="G272" s="11">
        <v>4</v>
      </c>
      <c r="H272" s="11">
        <v>2200</v>
      </c>
      <c r="I272" s="13">
        <v>0.1</v>
      </c>
      <c r="J272" s="11">
        <v>7920</v>
      </c>
      <c r="K272" s="11">
        <v>6788.99</v>
      </c>
      <c r="L272" s="11">
        <v>1131.01</v>
      </c>
      <c r="M272" s="11" t="s">
        <v>43</v>
      </c>
      <c r="N272" s="11" t="s">
        <v>44</v>
      </c>
      <c r="O272" s="11" t="s">
        <v>24</v>
      </c>
      <c r="P272" s="11" t="s">
        <v>95</v>
      </c>
      <c r="Q272" s="11" t="s">
        <v>26</v>
      </c>
    </row>
    <row r="273" spans="1:17" x14ac:dyDescent="0.25">
      <c r="A273" s="11" t="s">
        <v>664</v>
      </c>
      <c r="B273" s="12">
        <v>45696</v>
      </c>
      <c r="C273" s="11" t="s">
        <v>356</v>
      </c>
      <c r="D273" s="11" t="s">
        <v>357</v>
      </c>
      <c r="E273" s="11" t="s">
        <v>123</v>
      </c>
      <c r="F273" s="11" t="s">
        <v>21</v>
      </c>
      <c r="G273" s="11">
        <v>3</v>
      </c>
      <c r="H273" s="11">
        <v>2200</v>
      </c>
      <c r="I273" s="11">
        <v>0</v>
      </c>
      <c r="J273" s="11">
        <v>6600</v>
      </c>
      <c r="K273" s="11">
        <v>5114.32</v>
      </c>
      <c r="L273" s="11">
        <v>1485.68</v>
      </c>
      <c r="M273" s="11" t="s">
        <v>36</v>
      </c>
      <c r="N273" s="11" t="s">
        <v>23</v>
      </c>
      <c r="O273" s="11" t="s">
        <v>45</v>
      </c>
      <c r="P273" s="11" t="s">
        <v>55</v>
      </c>
      <c r="Q273" s="11" t="s">
        <v>26</v>
      </c>
    </row>
    <row r="274" spans="1:17" x14ac:dyDescent="0.25">
      <c r="A274" s="11" t="s">
        <v>665</v>
      </c>
      <c r="B274" s="12">
        <v>45958</v>
      </c>
      <c r="C274" s="11" t="s">
        <v>263</v>
      </c>
      <c r="D274" s="11" t="s">
        <v>264</v>
      </c>
      <c r="E274" s="11" t="s">
        <v>66</v>
      </c>
      <c r="F274" s="11" t="s">
        <v>31</v>
      </c>
      <c r="G274" s="11">
        <v>1</v>
      </c>
      <c r="H274" s="11">
        <v>3500</v>
      </c>
      <c r="I274" s="11">
        <v>0.05</v>
      </c>
      <c r="J274" s="11">
        <v>3325</v>
      </c>
      <c r="K274" s="11">
        <v>2935.66</v>
      </c>
      <c r="L274" s="11">
        <v>389.34</v>
      </c>
      <c r="M274" s="11" t="s">
        <v>80</v>
      </c>
      <c r="N274" s="11" t="s">
        <v>81</v>
      </c>
      <c r="O274" s="11" t="s">
        <v>45</v>
      </c>
      <c r="P274" s="11" t="s">
        <v>55</v>
      </c>
      <c r="Q274" s="11" t="s">
        <v>26</v>
      </c>
    </row>
    <row r="275" spans="1:17" x14ac:dyDescent="0.25">
      <c r="A275" s="11" t="s">
        <v>666</v>
      </c>
      <c r="B275" s="12">
        <v>45948</v>
      </c>
      <c r="C275" s="11" t="s">
        <v>182</v>
      </c>
      <c r="D275" s="11" t="s">
        <v>183</v>
      </c>
      <c r="E275" s="11" t="s">
        <v>93</v>
      </c>
      <c r="F275" s="11" t="s">
        <v>94</v>
      </c>
      <c r="G275" s="11">
        <v>5</v>
      </c>
      <c r="H275" s="11">
        <v>2800</v>
      </c>
      <c r="I275" s="11">
        <v>0.05</v>
      </c>
      <c r="J275" s="11">
        <v>13300</v>
      </c>
      <c r="K275" s="11">
        <v>11986.81</v>
      </c>
      <c r="L275" s="11">
        <v>1313.19</v>
      </c>
      <c r="M275" s="11" t="s">
        <v>75</v>
      </c>
      <c r="N275" s="11" t="s">
        <v>76</v>
      </c>
      <c r="O275" s="11" t="s">
        <v>32</v>
      </c>
      <c r="P275" s="11" t="s">
        <v>37</v>
      </c>
      <c r="Q275" s="11" t="s">
        <v>60</v>
      </c>
    </row>
    <row r="276" spans="1:17" x14ac:dyDescent="0.25">
      <c r="A276" s="11" t="s">
        <v>667</v>
      </c>
      <c r="B276" s="12">
        <v>45835</v>
      </c>
      <c r="C276" s="11" t="s">
        <v>668</v>
      </c>
      <c r="D276" s="11" t="s">
        <v>669</v>
      </c>
      <c r="E276" s="11" t="s">
        <v>107</v>
      </c>
      <c r="F276" s="11" t="s">
        <v>108</v>
      </c>
      <c r="G276" s="11">
        <v>1</v>
      </c>
      <c r="H276" s="11">
        <v>1400</v>
      </c>
      <c r="I276" s="13">
        <v>0.2</v>
      </c>
      <c r="J276" s="11">
        <v>1120</v>
      </c>
      <c r="K276" s="11">
        <v>1050.74</v>
      </c>
      <c r="L276" s="11">
        <v>69.260000000000005</v>
      </c>
      <c r="M276" s="11" t="s">
        <v>99</v>
      </c>
      <c r="N276" s="11" t="s">
        <v>71</v>
      </c>
      <c r="O276" s="11" t="s">
        <v>45</v>
      </c>
      <c r="P276" s="11" t="s">
        <v>46</v>
      </c>
      <c r="Q276" s="11" t="s">
        <v>47</v>
      </c>
    </row>
    <row r="277" spans="1:17" x14ac:dyDescent="0.25">
      <c r="A277" s="11" t="s">
        <v>670</v>
      </c>
      <c r="B277" s="12">
        <v>45982</v>
      </c>
      <c r="C277" s="11" t="s">
        <v>671</v>
      </c>
      <c r="D277" s="11" t="s">
        <v>672</v>
      </c>
      <c r="E277" s="11" t="s">
        <v>85</v>
      </c>
      <c r="F277" s="11" t="s">
        <v>86</v>
      </c>
      <c r="G277" s="11">
        <v>3</v>
      </c>
      <c r="H277" s="11">
        <v>450</v>
      </c>
      <c r="I277" s="11">
        <v>0</v>
      </c>
      <c r="J277" s="11">
        <v>1350</v>
      </c>
      <c r="K277" s="11">
        <v>1185.7</v>
      </c>
      <c r="L277" s="11">
        <v>164.3</v>
      </c>
      <c r="M277" s="11" t="s">
        <v>36</v>
      </c>
      <c r="N277" s="11" t="s">
        <v>23</v>
      </c>
      <c r="O277" s="11" t="s">
        <v>45</v>
      </c>
      <c r="P277" s="11" t="s">
        <v>95</v>
      </c>
      <c r="Q277" s="11" t="s">
        <v>26</v>
      </c>
    </row>
    <row r="278" spans="1:17" x14ac:dyDescent="0.25">
      <c r="A278" s="11" t="s">
        <v>673</v>
      </c>
      <c r="B278" s="12">
        <v>46006</v>
      </c>
      <c r="C278" s="11" t="s">
        <v>101</v>
      </c>
      <c r="D278" s="11" t="s">
        <v>102</v>
      </c>
      <c r="E278" s="11" t="s">
        <v>85</v>
      </c>
      <c r="F278" s="11" t="s">
        <v>86</v>
      </c>
      <c r="G278" s="11">
        <v>4</v>
      </c>
      <c r="H278" s="11">
        <v>450</v>
      </c>
      <c r="I278" s="11">
        <v>0.05</v>
      </c>
      <c r="J278" s="11">
        <v>1710</v>
      </c>
      <c r="K278" s="11">
        <v>1489.68</v>
      </c>
      <c r="L278" s="11">
        <v>220.32</v>
      </c>
      <c r="M278" s="11" t="s">
        <v>75</v>
      </c>
      <c r="N278" s="11" t="s">
        <v>76</v>
      </c>
      <c r="O278" s="11" t="s">
        <v>32</v>
      </c>
      <c r="P278" s="11" t="s">
        <v>95</v>
      </c>
      <c r="Q278" s="11" t="s">
        <v>60</v>
      </c>
    </row>
    <row r="279" spans="1:17" x14ac:dyDescent="0.25">
      <c r="A279" s="11" t="s">
        <v>674</v>
      </c>
      <c r="B279" s="12">
        <v>45736</v>
      </c>
      <c r="C279" s="11" t="s">
        <v>220</v>
      </c>
      <c r="D279" s="11" t="s">
        <v>221</v>
      </c>
      <c r="E279" s="11" t="s">
        <v>62</v>
      </c>
      <c r="F279" s="11" t="s">
        <v>21</v>
      </c>
      <c r="G279" s="11">
        <v>1</v>
      </c>
      <c r="H279" s="11">
        <v>1800</v>
      </c>
      <c r="I279" s="13">
        <v>0.1</v>
      </c>
      <c r="J279" s="11">
        <v>1620</v>
      </c>
      <c r="K279" s="11">
        <v>1494.53</v>
      </c>
      <c r="L279" s="11">
        <v>125.47</v>
      </c>
      <c r="M279" s="11" t="s">
        <v>75</v>
      </c>
      <c r="N279" s="11" t="s">
        <v>76</v>
      </c>
      <c r="O279" s="11" t="s">
        <v>45</v>
      </c>
      <c r="P279" s="11" t="s">
        <v>37</v>
      </c>
      <c r="Q279" s="11" t="s">
        <v>26</v>
      </c>
    </row>
    <row r="280" spans="1:17" x14ac:dyDescent="0.25">
      <c r="A280" s="11" t="s">
        <v>675</v>
      </c>
      <c r="B280" s="12">
        <v>45660</v>
      </c>
      <c r="C280" s="11" t="s">
        <v>450</v>
      </c>
      <c r="D280" s="11" t="s">
        <v>451</v>
      </c>
      <c r="E280" s="11" t="s">
        <v>54</v>
      </c>
      <c r="F280" s="11" t="s">
        <v>31</v>
      </c>
      <c r="G280" s="11">
        <v>1</v>
      </c>
      <c r="H280" s="11">
        <v>2800</v>
      </c>
      <c r="I280" s="11">
        <v>0</v>
      </c>
      <c r="J280" s="11">
        <v>2800</v>
      </c>
      <c r="K280" s="11">
        <v>2051.79</v>
      </c>
      <c r="L280" s="11">
        <v>748.21</v>
      </c>
      <c r="M280" s="11" t="s">
        <v>36</v>
      </c>
      <c r="N280" s="11" t="s">
        <v>23</v>
      </c>
      <c r="O280" s="11" t="s">
        <v>45</v>
      </c>
      <c r="P280" s="11" t="s">
        <v>55</v>
      </c>
      <c r="Q280" s="11" t="s">
        <v>26</v>
      </c>
    </row>
    <row r="281" spans="1:17" x14ac:dyDescent="0.25">
      <c r="A281" s="11" t="s">
        <v>676</v>
      </c>
      <c r="B281" s="12">
        <v>45887</v>
      </c>
      <c r="C281" s="11" t="s">
        <v>251</v>
      </c>
      <c r="D281" s="11" t="s">
        <v>252</v>
      </c>
      <c r="E281" s="11" t="s">
        <v>62</v>
      </c>
      <c r="F281" s="11" t="s">
        <v>21</v>
      </c>
      <c r="G281" s="11">
        <v>2</v>
      </c>
      <c r="H281" s="11">
        <v>1800</v>
      </c>
      <c r="I281" s="11">
        <v>0.15</v>
      </c>
      <c r="J281" s="11">
        <v>3060</v>
      </c>
      <c r="K281" s="11">
        <v>2361.7399999999998</v>
      </c>
      <c r="L281" s="11">
        <v>698.26</v>
      </c>
      <c r="M281" s="11" t="s">
        <v>75</v>
      </c>
      <c r="N281" s="11" t="s">
        <v>76</v>
      </c>
      <c r="O281" s="11" t="s">
        <v>24</v>
      </c>
      <c r="P281" s="11" t="s">
        <v>25</v>
      </c>
      <c r="Q281" s="11" t="s">
        <v>26</v>
      </c>
    </row>
    <row r="282" spans="1:17" x14ac:dyDescent="0.25">
      <c r="A282" s="11" t="s">
        <v>677</v>
      </c>
      <c r="B282" s="12">
        <v>45807</v>
      </c>
      <c r="C282" s="11" t="s">
        <v>491</v>
      </c>
      <c r="D282" s="11" t="s">
        <v>492</v>
      </c>
      <c r="E282" s="11" t="s">
        <v>66</v>
      </c>
      <c r="F282" s="11" t="s">
        <v>31</v>
      </c>
      <c r="G282" s="11">
        <v>4</v>
      </c>
      <c r="H282" s="11">
        <v>3500</v>
      </c>
      <c r="I282" s="11">
        <v>0</v>
      </c>
      <c r="J282" s="11">
        <v>14000</v>
      </c>
      <c r="K282" s="11">
        <v>11608.92</v>
      </c>
      <c r="L282" s="11">
        <v>2391.08</v>
      </c>
      <c r="M282" s="11" t="s">
        <v>75</v>
      </c>
      <c r="N282" s="11" t="s">
        <v>76</v>
      </c>
      <c r="O282" s="11" t="s">
        <v>32</v>
      </c>
      <c r="P282" s="11" t="s">
        <v>25</v>
      </c>
      <c r="Q282" s="11" t="s">
        <v>26</v>
      </c>
    </row>
    <row r="283" spans="1:17" x14ac:dyDescent="0.25">
      <c r="A283" s="11" t="s">
        <v>678</v>
      </c>
      <c r="B283" s="12">
        <v>45729</v>
      </c>
      <c r="C283" s="11" t="s">
        <v>679</v>
      </c>
      <c r="D283" s="11" t="s">
        <v>680</v>
      </c>
      <c r="E283" s="11" t="s">
        <v>93</v>
      </c>
      <c r="F283" s="11" t="s">
        <v>94</v>
      </c>
      <c r="G283" s="11">
        <v>4</v>
      </c>
      <c r="H283" s="11">
        <v>2800</v>
      </c>
      <c r="I283" s="13">
        <v>0.05</v>
      </c>
      <c r="J283" s="11">
        <v>10640</v>
      </c>
      <c r="K283" s="11">
        <v>7971.42</v>
      </c>
      <c r="L283" s="11">
        <v>2668.58</v>
      </c>
      <c r="M283" s="11" t="s">
        <v>36</v>
      </c>
      <c r="N283" s="11" t="s">
        <v>23</v>
      </c>
      <c r="O283" s="11" t="s">
        <v>45</v>
      </c>
      <c r="P283" s="11" t="s">
        <v>55</v>
      </c>
      <c r="Q283" s="11" t="s">
        <v>26</v>
      </c>
    </row>
    <row r="284" spans="1:17" x14ac:dyDescent="0.25">
      <c r="A284" s="11" t="s">
        <v>681</v>
      </c>
      <c r="B284" s="12">
        <v>45811</v>
      </c>
      <c r="C284" s="11" t="s">
        <v>671</v>
      </c>
      <c r="D284" s="11" t="s">
        <v>672</v>
      </c>
      <c r="E284" s="11" t="s">
        <v>30</v>
      </c>
      <c r="F284" s="11" t="s">
        <v>31</v>
      </c>
      <c r="G284" s="11">
        <v>3</v>
      </c>
      <c r="H284" s="11">
        <v>1200</v>
      </c>
      <c r="I284" s="11">
        <v>0.15</v>
      </c>
      <c r="J284" s="11">
        <v>3060</v>
      </c>
      <c r="K284" s="11">
        <v>2403.69</v>
      </c>
      <c r="L284" s="11">
        <v>656.31</v>
      </c>
      <c r="M284" s="11" t="s">
        <v>70</v>
      </c>
      <c r="N284" s="11" t="s">
        <v>71</v>
      </c>
      <c r="O284" s="11" t="s">
        <v>32</v>
      </c>
      <c r="P284" s="11" t="s">
        <v>95</v>
      </c>
      <c r="Q284" s="11" t="s">
        <v>60</v>
      </c>
    </row>
    <row r="285" spans="1:17" x14ac:dyDescent="0.25">
      <c r="A285" s="11" t="s">
        <v>682</v>
      </c>
      <c r="B285" s="12">
        <v>45758</v>
      </c>
      <c r="C285" s="11" t="s">
        <v>683</v>
      </c>
      <c r="D285" s="11" t="s">
        <v>684</v>
      </c>
      <c r="E285" s="11" t="s">
        <v>123</v>
      </c>
      <c r="F285" s="11" t="s">
        <v>21</v>
      </c>
      <c r="G285" s="11">
        <v>5</v>
      </c>
      <c r="H285" s="11">
        <v>2200</v>
      </c>
      <c r="I285" s="13">
        <v>0.2</v>
      </c>
      <c r="J285" s="11">
        <v>8800</v>
      </c>
      <c r="K285" s="11">
        <v>7492.79</v>
      </c>
      <c r="L285" s="11">
        <v>1307.21</v>
      </c>
      <c r="M285" s="11" t="s">
        <v>70</v>
      </c>
      <c r="N285" s="11" t="s">
        <v>71</v>
      </c>
      <c r="O285" s="11" t="s">
        <v>24</v>
      </c>
      <c r="P285" s="11" t="s">
        <v>37</v>
      </c>
      <c r="Q285" s="11" t="s">
        <v>26</v>
      </c>
    </row>
    <row r="286" spans="1:17" x14ac:dyDescent="0.25">
      <c r="A286" s="11" t="s">
        <v>685</v>
      </c>
      <c r="B286" s="12">
        <v>45829</v>
      </c>
      <c r="C286" s="11" t="s">
        <v>312</v>
      </c>
      <c r="D286" s="11" t="s">
        <v>313</v>
      </c>
      <c r="E286" s="11" t="s">
        <v>85</v>
      </c>
      <c r="F286" s="11" t="s">
        <v>86</v>
      </c>
      <c r="G286" s="11">
        <v>3</v>
      </c>
      <c r="H286" s="11">
        <v>450</v>
      </c>
      <c r="I286" s="11">
        <v>0.15</v>
      </c>
      <c r="J286" s="11">
        <v>1147.5</v>
      </c>
      <c r="K286" s="11">
        <v>1133.21</v>
      </c>
      <c r="L286" s="11">
        <v>14.29</v>
      </c>
      <c r="M286" s="11" t="s">
        <v>75</v>
      </c>
      <c r="N286" s="11" t="s">
        <v>76</v>
      </c>
      <c r="O286" s="11" t="s">
        <v>45</v>
      </c>
      <c r="P286" s="11" t="s">
        <v>25</v>
      </c>
      <c r="Q286" s="11" t="s">
        <v>26</v>
      </c>
    </row>
    <row r="287" spans="1:17" x14ac:dyDescent="0.25">
      <c r="A287" s="11" t="s">
        <v>686</v>
      </c>
      <c r="B287" s="12">
        <v>46013</v>
      </c>
      <c r="C287" s="11" t="s">
        <v>636</v>
      </c>
      <c r="D287" s="11" t="s">
        <v>637</v>
      </c>
      <c r="E287" s="11" t="s">
        <v>103</v>
      </c>
      <c r="F287" s="11" t="s">
        <v>42</v>
      </c>
      <c r="G287" s="11">
        <v>3</v>
      </c>
      <c r="H287" s="11">
        <v>6000</v>
      </c>
      <c r="I287" s="11">
        <v>0.2</v>
      </c>
      <c r="J287" s="11">
        <v>14400</v>
      </c>
      <c r="K287" s="11">
        <v>13000.72</v>
      </c>
      <c r="L287" s="11">
        <v>1399.28</v>
      </c>
      <c r="M287" s="11" t="s">
        <v>22</v>
      </c>
      <c r="N287" s="11" t="s">
        <v>23</v>
      </c>
      <c r="O287" s="11" t="s">
        <v>45</v>
      </c>
      <c r="P287" s="11" t="s">
        <v>46</v>
      </c>
      <c r="Q287" s="11" t="s">
        <v>26</v>
      </c>
    </row>
    <row r="288" spans="1:17" x14ac:dyDescent="0.25">
      <c r="A288" s="11" t="s">
        <v>687</v>
      </c>
      <c r="B288" s="12">
        <v>45824</v>
      </c>
      <c r="C288" s="11" t="s">
        <v>118</v>
      </c>
      <c r="D288" s="11" t="s">
        <v>119</v>
      </c>
      <c r="E288" s="11" t="s">
        <v>123</v>
      </c>
      <c r="F288" s="11" t="s">
        <v>21</v>
      </c>
      <c r="G288" s="11">
        <v>5</v>
      </c>
      <c r="H288" s="11">
        <v>2200</v>
      </c>
      <c r="I288" s="11">
        <v>0.05</v>
      </c>
      <c r="J288" s="11">
        <v>10450</v>
      </c>
      <c r="K288" s="11">
        <v>9215.73</v>
      </c>
      <c r="L288" s="11">
        <v>1234.27</v>
      </c>
      <c r="M288" s="11" t="s">
        <v>75</v>
      </c>
      <c r="N288" s="11" t="s">
        <v>76</v>
      </c>
      <c r="O288" s="11" t="s">
        <v>24</v>
      </c>
      <c r="P288" s="11" t="s">
        <v>46</v>
      </c>
      <c r="Q288" s="11" t="s">
        <v>26</v>
      </c>
    </row>
    <row r="289" spans="1:17" x14ac:dyDescent="0.25">
      <c r="A289" s="11" t="s">
        <v>688</v>
      </c>
      <c r="B289" s="12">
        <v>45750</v>
      </c>
      <c r="C289" s="11" t="s">
        <v>214</v>
      </c>
      <c r="D289" s="11" t="s">
        <v>215</v>
      </c>
      <c r="E289" s="11" t="s">
        <v>112</v>
      </c>
      <c r="F289" s="11" t="s">
        <v>94</v>
      </c>
      <c r="G289" s="11">
        <v>5</v>
      </c>
      <c r="H289" s="11">
        <v>800</v>
      </c>
      <c r="I289" s="11">
        <v>0.2</v>
      </c>
      <c r="J289" s="11">
        <v>3200</v>
      </c>
      <c r="K289" s="11">
        <v>3269.04</v>
      </c>
      <c r="L289" s="11">
        <v>-69.040000000000006</v>
      </c>
      <c r="M289" s="11" t="s">
        <v>99</v>
      </c>
      <c r="N289" s="11" t="s">
        <v>71</v>
      </c>
      <c r="O289" s="11" t="s">
        <v>32</v>
      </c>
      <c r="P289" s="11" t="s">
        <v>95</v>
      </c>
      <c r="Q289" s="11" t="s">
        <v>26</v>
      </c>
    </row>
    <row r="290" spans="1:17" x14ac:dyDescent="0.25">
      <c r="A290" s="11" t="s">
        <v>689</v>
      </c>
      <c r="B290" s="12">
        <v>46002</v>
      </c>
      <c r="C290" s="11" t="s">
        <v>18</v>
      </c>
      <c r="D290" s="11" t="s">
        <v>19</v>
      </c>
      <c r="E290" s="11" t="s">
        <v>103</v>
      </c>
      <c r="F290" s="11" t="s">
        <v>42</v>
      </c>
      <c r="G290" s="11">
        <v>1</v>
      </c>
      <c r="H290" s="11">
        <v>6000</v>
      </c>
      <c r="I290" s="13">
        <v>0.15</v>
      </c>
      <c r="J290" s="11">
        <v>5100</v>
      </c>
      <c r="K290" s="11">
        <v>4774</v>
      </c>
      <c r="L290" s="11">
        <v>326</v>
      </c>
      <c r="M290" s="11" t="s">
        <v>70</v>
      </c>
      <c r="N290" s="11" t="s">
        <v>71</v>
      </c>
      <c r="O290" s="11" t="s">
        <v>45</v>
      </c>
      <c r="P290" s="11" t="s">
        <v>46</v>
      </c>
      <c r="Q290" s="11" t="s">
        <v>60</v>
      </c>
    </row>
    <row r="291" spans="1:17" x14ac:dyDescent="0.25">
      <c r="A291" s="11" t="s">
        <v>690</v>
      </c>
      <c r="B291" s="12">
        <v>45695</v>
      </c>
      <c r="C291" s="11" t="s">
        <v>97</v>
      </c>
      <c r="D291" s="11" t="s">
        <v>98</v>
      </c>
      <c r="E291" s="11" t="s">
        <v>107</v>
      </c>
      <c r="F291" s="11" t="s">
        <v>108</v>
      </c>
      <c r="G291" s="11">
        <v>4</v>
      </c>
      <c r="H291" s="11">
        <v>1400</v>
      </c>
      <c r="I291" s="11">
        <v>0.15</v>
      </c>
      <c r="J291" s="11">
        <v>4760</v>
      </c>
      <c r="K291" s="11">
        <v>4257.25</v>
      </c>
      <c r="L291" s="11">
        <v>502.75</v>
      </c>
      <c r="M291" s="11" t="s">
        <v>70</v>
      </c>
      <c r="N291" s="11" t="s">
        <v>71</v>
      </c>
      <c r="O291" s="11" t="s">
        <v>24</v>
      </c>
      <c r="P291" s="11" t="s">
        <v>25</v>
      </c>
      <c r="Q291" s="11" t="s">
        <v>47</v>
      </c>
    </row>
    <row r="292" spans="1:17" x14ac:dyDescent="0.25">
      <c r="A292" s="11" t="s">
        <v>691</v>
      </c>
      <c r="B292" s="12">
        <v>45842</v>
      </c>
      <c r="C292" s="11" t="s">
        <v>683</v>
      </c>
      <c r="D292" s="11" t="s">
        <v>684</v>
      </c>
      <c r="E292" s="11" t="s">
        <v>30</v>
      </c>
      <c r="F292" s="11" t="s">
        <v>31</v>
      </c>
      <c r="G292" s="11">
        <v>5</v>
      </c>
      <c r="H292" s="11">
        <v>1200</v>
      </c>
      <c r="I292" s="11">
        <v>0</v>
      </c>
      <c r="J292" s="11">
        <v>6000</v>
      </c>
      <c r="K292" s="11">
        <v>4961.16</v>
      </c>
      <c r="L292" s="11">
        <v>1038.8399999999999</v>
      </c>
      <c r="M292" s="11" t="s">
        <v>43</v>
      </c>
      <c r="N292" s="11" t="s">
        <v>44</v>
      </c>
      <c r="O292" s="11" t="s">
        <v>45</v>
      </c>
      <c r="P292" s="11" t="s">
        <v>46</v>
      </c>
      <c r="Q292" s="11" t="s">
        <v>26</v>
      </c>
    </row>
    <row r="293" spans="1:17" x14ac:dyDescent="0.25">
      <c r="A293" s="11" t="s">
        <v>692</v>
      </c>
      <c r="B293" s="12">
        <v>45827</v>
      </c>
      <c r="C293" s="11" t="s">
        <v>683</v>
      </c>
      <c r="D293" s="11" t="s">
        <v>684</v>
      </c>
      <c r="E293" s="11" t="s">
        <v>141</v>
      </c>
      <c r="F293" s="11" t="s">
        <v>21</v>
      </c>
      <c r="G293" s="11">
        <v>5</v>
      </c>
      <c r="H293" s="11">
        <v>22000</v>
      </c>
      <c r="I293" s="11">
        <v>0.15</v>
      </c>
      <c r="J293" s="11">
        <v>93500</v>
      </c>
      <c r="K293" s="11">
        <v>71766.86</v>
      </c>
      <c r="L293" s="11">
        <v>21733.14</v>
      </c>
      <c r="M293" s="11" t="s">
        <v>75</v>
      </c>
      <c r="N293" s="11" t="s">
        <v>76</v>
      </c>
      <c r="O293" s="11" t="s">
        <v>24</v>
      </c>
      <c r="P293" s="11" t="s">
        <v>95</v>
      </c>
      <c r="Q293" s="11" t="s">
        <v>47</v>
      </c>
    </row>
    <row r="294" spans="1:17" x14ac:dyDescent="0.25">
      <c r="A294" s="11" t="s">
        <v>693</v>
      </c>
      <c r="B294" s="12">
        <v>45858</v>
      </c>
      <c r="C294" s="11" t="s">
        <v>694</v>
      </c>
      <c r="D294" s="11" t="s">
        <v>695</v>
      </c>
      <c r="E294" s="11" t="s">
        <v>116</v>
      </c>
      <c r="F294" s="11" t="s">
        <v>94</v>
      </c>
      <c r="G294" s="11">
        <v>4</v>
      </c>
      <c r="H294" s="11">
        <v>1800</v>
      </c>
      <c r="I294" s="11">
        <v>0.1</v>
      </c>
      <c r="J294" s="11">
        <v>6480</v>
      </c>
      <c r="K294" s="11">
        <v>5805.34</v>
      </c>
      <c r="L294" s="11">
        <v>674.66</v>
      </c>
      <c r="M294" s="11" t="s">
        <v>70</v>
      </c>
      <c r="N294" s="11" t="s">
        <v>71</v>
      </c>
      <c r="O294" s="11" t="s">
        <v>32</v>
      </c>
      <c r="P294" s="11" t="s">
        <v>25</v>
      </c>
      <c r="Q294" s="11" t="s">
        <v>26</v>
      </c>
    </row>
    <row r="295" spans="1:17" x14ac:dyDescent="0.25">
      <c r="A295" s="11" t="s">
        <v>696</v>
      </c>
      <c r="B295" s="12">
        <v>45711</v>
      </c>
      <c r="C295" s="11" t="s">
        <v>325</v>
      </c>
      <c r="D295" s="11" t="s">
        <v>326</v>
      </c>
      <c r="E295" s="11" t="s">
        <v>54</v>
      </c>
      <c r="F295" s="11" t="s">
        <v>31</v>
      </c>
      <c r="G295" s="11">
        <v>1</v>
      </c>
      <c r="H295" s="11">
        <v>2800</v>
      </c>
      <c r="I295" s="13">
        <v>0.15</v>
      </c>
      <c r="J295" s="11">
        <v>2380</v>
      </c>
      <c r="K295" s="11">
        <v>2412.83</v>
      </c>
      <c r="L295" s="11">
        <v>-32.83</v>
      </c>
      <c r="M295" s="11" t="s">
        <v>36</v>
      </c>
      <c r="N295" s="11" t="s">
        <v>23</v>
      </c>
      <c r="O295" s="11" t="s">
        <v>45</v>
      </c>
      <c r="P295" s="11" t="s">
        <v>55</v>
      </c>
      <c r="Q295" s="11" t="s">
        <v>60</v>
      </c>
    </row>
    <row r="296" spans="1:17" x14ac:dyDescent="0.25">
      <c r="A296" s="11" t="s">
        <v>697</v>
      </c>
      <c r="B296" s="12">
        <v>45833</v>
      </c>
      <c r="C296" s="11" t="s">
        <v>671</v>
      </c>
      <c r="D296" s="11" t="s">
        <v>672</v>
      </c>
      <c r="E296" s="11" t="s">
        <v>107</v>
      </c>
      <c r="F296" s="11" t="s">
        <v>108</v>
      </c>
      <c r="G296" s="11">
        <v>3</v>
      </c>
      <c r="H296" s="11">
        <v>1400</v>
      </c>
      <c r="I296" s="11">
        <v>0.1</v>
      </c>
      <c r="J296" s="11">
        <v>3780</v>
      </c>
      <c r="K296" s="11">
        <v>2929.83</v>
      </c>
      <c r="L296" s="11">
        <v>850.17</v>
      </c>
      <c r="M296" s="11" t="s">
        <v>70</v>
      </c>
      <c r="N296" s="11" t="s">
        <v>71</v>
      </c>
      <c r="O296" s="11" t="s">
        <v>24</v>
      </c>
      <c r="P296" s="11" t="s">
        <v>46</v>
      </c>
      <c r="Q296" s="11" t="s">
        <v>26</v>
      </c>
    </row>
    <row r="297" spans="1:17" x14ac:dyDescent="0.25">
      <c r="A297" s="11" t="s">
        <v>698</v>
      </c>
      <c r="B297" s="12">
        <v>45821</v>
      </c>
      <c r="C297" s="11" t="s">
        <v>536</v>
      </c>
      <c r="D297" s="11" t="s">
        <v>537</v>
      </c>
      <c r="E297" s="11" t="s">
        <v>20</v>
      </c>
      <c r="F297" s="11" t="s">
        <v>21</v>
      </c>
      <c r="G297" s="11">
        <v>4</v>
      </c>
      <c r="H297" s="11">
        <v>4500</v>
      </c>
      <c r="I297" s="11">
        <v>0.15</v>
      </c>
      <c r="J297" s="11">
        <v>15300</v>
      </c>
      <c r="K297" s="11">
        <v>11884.99</v>
      </c>
      <c r="L297" s="11">
        <v>3415.01</v>
      </c>
      <c r="M297" s="11" t="s">
        <v>43</v>
      </c>
      <c r="N297" s="11" t="s">
        <v>44</v>
      </c>
      <c r="O297" s="11" t="s">
        <v>24</v>
      </c>
      <c r="P297" s="11" t="s">
        <v>55</v>
      </c>
      <c r="Q297" s="11" t="s">
        <v>26</v>
      </c>
    </row>
    <row r="298" spans="1:17" x14ac:dyDescent="0.25">
      <c r="A298" s="11" t="s">
        <v>699</v>
      </c>
      <c r="B298" s="12">
        <v>45782</v>
      </c>
      <c r="C298" s="11" t="s">
        <v>322</v>
      </c>
      <c r="D298" s="11" t="s">
        <v>323</v>
      </c>
      <c r="E298" s="11" t="s">
        <v>66</v>
      </c>
      <c r="F298" s="11" t="s">
        <v>31</v>
      </c>
      <c r="G298" s="11">
        <v>1</v>
      </c>
      <c r="H298" s="11">
        <v>3500</v>
      </c>
      <c r="I298" s="11">
        <v>0.05</v>
      </c>
      <c r="J298" s="11">
        <v>3325</v>
      </c>
      <c r="K298" s="11">
        <v>2403.91</v>
      </c>
      <c r="L298" s="11">
        <v>921.09</v>
      </c>
      <c r="M298" s="11" t="s">
        <v>80</v>
      </c>
      <c r="N298" s="11" t="s">
        <v>81</v>
      </c>
      <c r="O298" s="11" t="s">
        <v>24</v>
      </c>
      <c r="P298" s="11" t="s">
        <v>37</v>
      </c>
      <c r="Q298" s="11" t="s">
        <v>26</v>
      </c>
    </row>
    <row r="299" spans="1:17" x14ac:dyDescent="0.25">
      <c r="A299" s="11" t="s">
        <v>700</v>
      </c>
      <c r="B299" s="12">
        <v>45753</v>
      </c>
      <c r="C299" s="11" t="s">
        <v>149</v>
      </c>
      <c r="D299" s="11" t="s">
        <v>150</v>
      </c>
      <c r="E299" s="11" t="s">
        <v>116</v>
      </c>
      <c r="F299" s="11" t="s">
        <v>94</v>
      </c>
      <c r="G299" s="11">
        <v>4</v>
      </c>
      <c r="H299" s="11">
        <v>1800</v>
      </c>
      <c r="I299" s="11">
        <v>0.05</v>
      </c>
      <c r="J299" s="11">
        <v>6840</v>
      </c>
      <c r="K299" s="11">
        <v>4728.34</v>
      </c>
      <c r="L299" s="11">
        <v>2111.66</v>
      </c>
      <c r="M299" s="11" t="s">
        <v>75</v>
      </c>
      <c r="N299" s="11" t="s">
        <v>76</v>
      </c>
      <c r="O299" s="11" t="s">
        <v>24</v>
      </c>
      <c r="P299" s="11" t="s">
        <v>95</v>
      </c>
      <c r="Q299" s="11" t="s">
        <v>26</v>
      </c>
    </row>
    <row r="300" spans="1:17" x14ac:dyDescent="0.25">
      <c r="A300" s="11" t="s">
        <v>701</v>
      </c>
      <c r="B300" s="12">
        <v>46018</v>
      </c>
      <c r="C300" s="11" t="s">
        <v>702</v>
      </c>
      <c r="D300" s="11" t="s">
        <v>703</v>
      </c>
      <c r="E300" s="11" t="s">
        <v>30</v>
      </c>
      <c r="F300" s="11" t="s">
        <v>31</v>
      </c>
      <c r="G300" s="11">
        <v>4</v>
      </c>
      <c r="H300" s="11">
        <v>1200</v>
      </c>
      <c r="I300" s="11">
        <v>0</v>
      </c>
      <c r="J300" s="11">
        <v>4800</v>
      </c>
      <c r="K300" s="11">
        <v>3427.29</v>
      </c>
      <c r="L300" s="11">
        <v>1372.71</v>
      </c>
      <c r="M300" s="11" t="s">
        <v>22</v>
      </c>
      <c r="N300" s="11" t="s">
        <v>23</v>
      </c>
      <c r="O300" s="11" t="s">
        <v>45</v>
      </c>
      <c r="P300" s="11" t="s">
        <v>55</v>
      </c>
      <c r="Q300" s="11" t="s">
        <v>47</v>
      </c>
    </row>
    <row r="301" spans="1:17" x14ac:dyDescent="0.25">
      <c r="A301" s="11" t="s">
        <v>704</v>
      </c>
      <c r="B301" s="12">
        <v>45845</v>
      </c>
      <c r="C301" s="11" t="s">
        <v>444</v>
      </c>
      <c r="D301" s="11" t="s">
        <v>445</v>
      </c>
      <c r="E301" s="11" t="s">
        <v>20</v>
      </c>
      <c r="F301" s="11" t="s">
        <v>21</v>
      </c>
      <c r="G301" s="11">
        <v>5</v>
      </c>
      <c r="H301" s="11">
        <v>4500</v>
      </c>
      <c r="I301" s="11">
        <v>0.05</v>
      </c>
      <c r="J301" s="11">
        <v>21375</v>
      </c>
      <c r="K301" s="11">
        <v>16992.82</v>
      </c>
      <c r="L301" s="11">
        <v>4382.18</v>
      </c>
      <c r="M301" s="11" t="s">
        <v>59</v>
      </c>
      <c r="N301" s="11" t="s">
        <v>59</v>
      </c>
      <c r="O301" s="11" t="s">
        <v>45</v>
      </c>
      <c r="P301" s="11" t="s">
        <v>37</v>
      </c>
      <c r="Q301" s="11" t="s">
        <v>47</v>
      </c>
    </row>
    <row r="302" spans="1:17" x14ac:dyDescent="0.25">
      <c r="A302" s="11" t="s">
        <v>705</v>
      </c>
      <c r="B302" s="12">
        <v>45970</v>
      </c>
      <c r="C302" s="11" t="s">
        <v>114</v>
      </c>
      <c r="D302" s="11" t="s">
        <v>115</v>
      </c>
      <c r="E302" s="11" t="s">
        <v>66</v>
      </c>
      <c r="F302" s="11" t="s">
        <v>31</v>
      </c>
      <c r="G302" s="11">
        <v>5</v>
      </c>
      <c r="H302" s="11">
        <v>3500</v>
      </c>
      <c r="I302" s="11">
        <v>0.15</v>
      </c>
      <c r="J302" s="11">
        <v>14875</v>
      </c>
      <c r="K302" s="11">
        <v>11834.78</v>
      </c>
      <c r="L302" s="11">
        <v>3040.22</v>
      </c>
      <c r="M302" s="11" t="s">
        <v>75</v>
      </c>
      <c r="N302" s="11" t="s">
        <v>76</v>
      </c>
      <c r="O302" s="11" t="s">
        <v>32</v>
      </c>
      <c r="P302" s="11" t="s">
        <v>37</v>
      </c>
      <c r="Q302" s="11" t="s">
        <v>47</v>
      </c>
    </row>
    <row r="303" spans="1:17" x14ac:dyDescent="0.25">
      <c r="A303" s="11" t="s">
        <v>706</v>
      </c>
      <c r="B303" s="12">
        <v>45960</v>
      </c>
      <c r="C303" s="11" t="s">
        <v>143</v>
      </c>
      <c r="D303" s="11" t="s">
        <v>144</v>
      </c>
      <c r="E303" s="11" t="s">
        <v>93</v>
      </c>
      <c r="F303" s="11" t="s">
        <v>94</v>
      </c>
      <c r="G303" s="11">
        <v>3</v>
      </c>
      <c r="H303" s="11">
        <v>2800</v>
      </c>
      <c r="I303" s="13">
        <v>0.2</v>
      </c>
      <c r="J303" s="11">
        <v>6720</v>
      </c>
      <c r="K303" s="11">
        <v>5718.79</v>
      </c>
      <c r="L303" s="11">
        <v>1001.21</v>
      </c>
      <c r="M303" s="11" t="s">
        <v>43</v>
      </c>
      <c r="N303" s="11" t="s">
        <v>44</v>
      </c>
      <c r="O303" s="11" t="s">
        <v>24</v>
      </c>
      <c r="P303" s="11" t="s">
        <v>95</v>
      </c>
      <c r="Q303" s="11" t="s">
        <v>26</v>
      </c>
    </row>
    <row r="304" spans="1:17" x14ac:dyDescent="0.25">
      <c r="A304" s="11" t="s">
        <v>707</v>
      </c>
      <c r="B304" s="12">
        <v>46013</v>
      </c>
      <c r="C304" s="11" t="s">
        <v>201</v>
      </c>
      <c r="D304" s="11" t="s">
        <v>202</v>
      </c>
      <c r="E304" s="11" t="s">
        <v>20</v>
      </c>
      <c r="F304" s="11" t="s">
        <v>21</v>
      </c>
      <c r="G304" s="11">
        <v>2</v>
      </c>
      <c r="H304" s="11">
        <v>4500</v>
      </c>
      <c r="I304" s="11">
        <v>0.1</v>
      </c>
      <c r="J304" s="11">
        <v>8100</v>
      </c>
      <c r="K304" s="11">
        <v>6654.12</v>
      </c>
      <c r="L304" s="11">
        <v>1445.88</v>
      </c>
      <c r="M304" s="11" t="s">
        <v>80</v>
      </c>
      <c r="N304" s="11" t="s">
        <v>81</v>
      </c>
      <c r="O304" s="11" t="s">
        <v>45</v>
      </c>
      <c r="P304" s="11" t="s">
        <v>95</v>
      </c>
      <c r="Q304" s="11" t="s">
        <v>47</v>
      </c>
    </row>
    <row r="305" spans="1:17" x14ac:dyDescent="0.25">
      <c r="A305" s="11" t="s">
        <v>708</v>
      </c>
      <c r="B305" s="12">
        <v>45907</v>
      </c>
      <c r="C305" s="11" t="s">
        <v>211</v>
      </c>
      <c r="D305" s="11" t="s">
        <v>212</v>
      </c>
      <c r="E305" s="11" t="s">
        <v>85</v>
      </c>
      <c r="F305" s="11" t="s">
        <v>86</v>
      </c>
      <c r="G305" s="11">
        <v>4</v>
      </c>
      <c r="H305" s="11">
        <v>450</v>
      </c>
      <c r="I305" s="11">
        <v>0.05</v>
      </c>
      <c r="J305" s="11">
        <v>1710</v>
      </c>
      <c r="K305" s="11">
        <v>1239.08</v>
      </c>
      <c r="L305" s="11">
        <v>470.92</v>
      </c>
      <c r="M305" s="11" t="s">
        <v>80</v>
      </c>
      <c r="N305" s="11" t="s">
        <v>81</v>
      </c>
      <c r="O305" s="11" t="s">
        <v>32</v>
      </c>
      <c r="P305" s="11" t="s">
        <v>95</v>
      </c>
      <c r="Q305" s="11" t="s">
        <v>26</v>
      </c>
    </row>
    <row r="306" spans="1:17" x14ac:dyDescent="0.25">
      <c r="A306" s="11" t="s">
        <v>709</v>
      </c>
      <c r="B306" s="12">
        <v>45685</v>
      </c>
      <c r="C306" s="11" t="s">
        <v>214</v>
      </c>
      <c r="D306" s="11" t="s">
        <v>215</v>
      </c>
      <c r="E306" s="11" t="s">
        <v>66</v>
      </c>
      <c r="F306" s="11" t="s">
        <v>31</v>
      </c>
      <c r="G306" s="11">
        <v>4</v>
      </c>
      <c r="H306" s="11">
        <v>3500</v>
      </c>
      <c r="I306" s="13">
        <v>0.2</v>
      </c>
      <c r="J306" s="11">
        <v>11200</v>
      </c>
      <c r="K306" s="11">
        <v>9130.86</v>
      </c>
      <c r="L306" s="11">
        <v>2069.14</v>
      </c>
      <c r="M306" s="11" t="s">
        <v>59</v>
      </c>
      <c r="N306" s="11" t="s">
        <v>59</v>
      </c>
      <c r="O306" s="11" t="s">
        <v>24</v>
      </c>
      <c r="P306" s="11" t="s">
        <v>95</v>
      </c>
      <c r="Q306" s="11" t="s">
        <v>26</v>
      </c>
    </row>
    <row r="307" spans="1:17" x14ac:dyDescent="0.25">
      <c r="A307" s="11" t="s">
        <v>710</v>
      </c>
      <c r="B307" s="12">
        <v>45870</v>
      </c>
      <c r="C307" s="11" t="s">
        <v>711</v>
      </c>
      <c r="D307" s="11" t="s">
        <v>712</v>
      </c>
      <c r="E307" s="11" t="s">
        <v>123</v>
      </c>
      <c r="F307" s="11" t="s">
        <v>21</v>
      </c>
      <c r="G307" s="11">
        <v>4</v>
      </c>
      <c r="H307" s="11">
        <v>2200</v>
      </c>
      <c r="I307" s="11">
        <v>0.15</v>
      </c>
      <c r="J307" s="11">
        <v>7480</v>
      </c>
      <c r="K307" s="11">
        <v>6058.52</v>
      </c>
      <c r="L307" s="11">
        <v>1421.48</v>
      </c>
      <c r="M307" s="11" t="s">
        <v>70</v>
      </c>
      <c r="N307" s="11" t="s">
        <v>71</v>
      </c>
      <c r="O307" s="11" t="s">
        <v>24</v>
      </c>
      <c r="P307" s="11" t="s">
        <v>55</v>
      </c>
      <c r="Q307" s="11" t="s">
        <v>26</v>
      </c>
    </row>
    <row r="308" spans="1:17" x14ac:dyDescent="0.25">
      <c r="A308" s="11" t="s">
        <v>713</v>
      </c>
      <c r="B308" s="12">
        <v>45773</v>
      </c>
      <c r="C308" s="11" t="s">
        <v>714</v>
      </c>
      <c r="D308" s="11" t="s">
        <v>715</v>
      </c>
      <c r="E308" s="11" t="s">
        <v>103</v>
      </c>
      <c r="F308" s="11" t="s">
        <v>42</v>
      </c>
      <c r="G308" s="11">
        <v>1</v>
      </c>
      <c r="H308" s="11">
        <v>6000</v>
      </c>
      <c r="I308" s="11">
        <v>0.1</v>
      </c>
      <c r="J308" s="11">
        <v>5400</v>
      </c>
      <c r="K308" s="11">
        <v>4977.42</v>
      </c>
      <c r="L308" s="11">
        <v>422.58</v>
      </c>
      <c r="M308" s="11" t="s">
        <v>36</v>
      </c>
      <c r="N308" s="11" t="s">
        <v>23</v>
      </c>
      <c r="O308" s="11" t="s">
        <v>32</v>
      </c>
      <c r="P308" s="11" t="s">
        <v>37</v>
      </c>
      <c r="Q308" s="11" t="s">
        <v>47</v>
      </c>
    </row>
    <row r="309" spans="1:17" x14ac:dyDescent="0.25">
      <c r="A309" s="11" t="s">
        <v>716</v>
      </c>
      <c r="B309" s="12">
        <v>45795</v>
      </c>
      <c r="C309" s="11" t="s">
        <v>717</v>
      </c>
      <c r="D309" s="11" t="s">
        <v>718</v>
      </c>
      <c r="E309" s="11" t="s">
        <v>20</v>
      </c>
      <c r="F309" s="11" t="s">
        <v>21</v>
      </c>
      <c r="G309" s="11">
        <v>5</v>
      </c>
      <c r="H309" s="11">
        <v>4500</v>
      </c>
      <c r="I309" s="13">
        <v>0</v>
      </c>
      <c r="J309" s="11">
        <v>22500</v>
      </c>
      <c r="K309" s="11">
        <v>18882.009999999998</v>
      </c>
      <c r="L309" s="11">
        <v>3617.99</v>
      </c>
      <c r="M309" s="11" t="s">
        <v>59</v>
      </c>
      <c r="N309" s="11" t="s">
        <v>59</v>
      </c>
      <c r="O309" s="11" t="s">
        <v>32</v>
      </c>
      <c r="P309" s="11" t="s">
        <v>37</v>
      </c>
      <c r="Q309" s="11" t="s">
        <v>47</v>
      </c>
    </row>
    <row r="310" spans="1:17" x14ac:dyDescent="0.25">
      <c r="A310" s="11" t="s">
        <v>719</v>
      </c>
      <c r="B310" s="12">
        <v>45992</v>
      </c>
      <c r="C310" s="11" t="s">
        <v>536</v>
      </c>
      <c r="D310" s="11" t="s">
        <v>537</v>
      </c>
      <c r="E310" s="11" t="s">
        <v>112</v>
      </c>
      <c r="F310" s="11" t="s">
        <v>94</v>
      </c>
      <c r="G310" s="11">
        <v>4</v>
      </c>
      <c r="H310" s="11">
        <v>800</v>
      </c>
      <c r="I310" s="13">
        <v>0</v>
      </c>
      <c r="J310" s="11">
        <v>3200</v>
      </c>
      <c r="K310" s="11">
        <v>2723.86</v>
      </c>
      <c r="L310" s="11">
        <v>476.14</v>
      </c>
      <c r="M310" s="11" t="s">
        <v>22</v>
      </c>
      <c r="N310" s="11" t="s">
        <v>23</v>
      </c>
      <c r="O310" s="11" t="s">
        <v>24</v>
      </c>
      <c r="P310" s="11" t="s">
        <v>37</v>
      </c>
      <c r="Q310" s="11" t="s">
        <v>26</v>
      </c>
    </row>
    <row r="311" spans="1:17" x14ac:dyDescent="0.25">
      <c r="A311" s="11" t="s">
        <v>720</v>
      </c>
      <c r="B311" s="12">
        <v>45718</v>
      </c>
      <c r="C311" s="11" t="s">
        <v>721</v>
      </c>
      <c r="D311" s="11" t="s">
        <v>722</v>
      </c>
      <c r="E311" s="11" t="s">
        <v>54</v>
      </c>
      <c r="F311" s="11" t="s">
        <v>31</v>
      </c>
      <c r="G311" s="11">
        <v>1</v>
      </c>
      <c r="H311" s="11">
        <v>2800</v>
      </c>
      <c r="I311" s="11">
        <v>0.15</v>
      </c>
      <c r="J311" s="11">
        <v>2380</v>
      </c>
      <c r="K311" s="11">
        <v>2342.09</v>
      </c>
      <c r="L311" s="11">
        <v>37.909999999999997</v>
      </c>
      <c r="M311" s="11" t="s">
        <v>22</v>
      </c>
      <c r="N311" s="11" t="s">
        <v>23</v>
      </c>
      <c r="O311" s="11" t="s">
        <v>32</v>
      </c>
      <c r="P311" s="11" t="s">
        <v>46</v>
      </c>
      <c r="Q311" s="11" t="s">
        <v>60</v>
      </c>
    </row>
    <row r="312" spans="1:17" x14ac:dyDescent="0.25">
      <c r="A312" s="11" t="s">
        <v>723</v>
      </c>
      <c r="B312" s="12">
        <v>45729</v>
      </c>
      <c r="C312" s="11" t="s">
        <v>312</v>
      </c>
      <c r="D312" s="11" t="s">
        <v>313</v>
      </c>
      <c r="E312" s="11" t="s">
        <v>30</v>
      </c>
      <c r="F312" s="11" t="s">
        <v>31</v>
      </c>
      <c r="G312" s="11">
        <v>2</v>
      </c>
      <c r="H312" s="11">
        <v>1200</v>
      </c>
      <c r="I312" s="13">
        <v>0.2</v>
      </c>
      <c r="J312" s="11">
        <v>1920</v>
      </c>
      <c r="K312" s="11">
        <v>1674.23</v>
      </c>
      <c r="L312" s="11">
        <v>245.77</v>
      </c>
      <c r="M312" s="11" t="s">
        <v>22</v>
      </c>
      <c r="N312" s="11" t="s">
        <v>23</v>
      </c>
      <c r="O312" s="11" t="s">
        <v>24</v>
      </c>
      <c r="P312" s="11" t="s">
        <v>25</v>
      </c>
      <c r="Q312" s="11" t="s">
        <v>26</v>
      </c>
    </row>
    <row r="313" spans="1:17" x14ac:dyDescent="0.25">
      <c r="A313" s="11" t="s">
        <v>724</v>
      </c>
      <c r="B313" s="12">
        <v>45744</v>
      </c>
      <c r="C313" s="11" t="s">
        <v>725</v>
      </c>
      <c r="D313" s="11" t="s">
        <v>726</v>
      </c>
      <c r="E313" s="11" t="s">
        <v>41</v>
      </c>
      <c r="F313" s="11" t="s">
        <v>42</v>
      </c>
      <c r="G313" s="11">
        <v>5</v>
      </c>
      <c r="H313" s="11">
        <v>7500</v>
      </c>
      <c r="I313" s="11">
        <v>0.2</v>
      </c>
      <c r="J313" s="11">
        <v>30000</v>
      </c>
      <c r="K313" s="11">
        <v>26898.97</v>
      </c>
      <c r="L313" s="11">
        <v>3101.03</v>
      </c>
      <c r="M313" s="11" t="s">
        <v>59</v>
      </c>
      <c r="N313" s="11" t="s">
        <v>59</v>
      </c>
      <c r="O313" s="11" t="s">
        <v>24</v>
      </c>
      <c r="P313" s="11" t="s">
        <v>46</v>
      </c>
      <c r="Q313" s="11" t="s">
        <v>47</v>
      </c>
    </row>
    <row r="314" spans="1:17" x14ac:dyDescent="0.25">
      <c r="A314" s="11" t="s">
        <v>727</v>
      </c>
      <c r="B314" s="12">
        <v>45688</v>
      </c>
      <c r="C314" s="11" t="s">
        <v>315</v>
      </c>
      <c r="D314" s="11" t="s">
        <v>316</v>
      </c>
      <c r="E314" s="11" t="s">
        <v>20</v>
      </c>
      <c r="F314" s="11" t="s">
        <v>21</v>
      </c>
      <c r="G314" s="11">
        <v>2</v>
      </c>
      <c r="H314" s="11">
        <v>4500</v>
      </c>
      <c r="I314" s="11">
        <v>0.15</v>
      </c>
      <c r="J314" s="11">
        <v>7650</v>
      </c>
      <c r="K314" s="11">
        <v>7207.71</v>
      </c>
      <c r="L314" s="11">
        <v>442.29</v>
      </c>
      <c r="M314" s="11" t="s">
        <v>36</v>
      </c>
      <c r="N314" s="11" t="s">
        <v>23</v>
      </c>
      <c r="O314" s="11" t="s">
        <v>24</v>
      </c>
      <c r="P314" s="11" t="s">
        <v>95</v>
      </c>
      <c r="Q314" s="11" t="s">
        <v>26</v>
      </c>
    </row>
    <row r="315" spans="1:17" x14ac:dyDescent="0.25">
      <c r="A315" s="11" t="s">
        <v>728</v>
      </c>
      <c r="B315" s="12">
        <v>46004</v>
      </c>
      <c r="C315" s="11" t="s">
        <v>711</v>
      </c>
      <c r="D315" s="11" t="s">
        <v>712</v>
      </c>
      <c r="E315" s="11" t="s">
        <v>107</v>
      </c>
      <c r="F315" s="11" t="s">
        <v>108</v>
      </c>
      <c r="G315" s="11">
        <v>3</v>
      </c>
      <c r="H315" s="11">
        <v>1400</v>
      </c>
      <c r="I315" s="11">
        <v>0.05</v>
      </c>
      <c r="J315" s="11">
        <v>3990</v>
      </c>
      <c r="K315" s="11">
        <v>2867.34</v>
      </c>
      <c r="L315" s="11">
        <v>1122.6600000000001</v>
      </c>
      <c r="M315" s="11" t="s">
        <v>75</v>
      </c>
      <c r="N315" s="11" t="s">
        <v>76</v>
      </c>
      <c r="O315" s="11" t="s">
        <v>45</v>
      </c>
      <c r="P315" s="11" t="s">
        <v>46</v>
      </c>
      <c r="Q315" s="11" t="s">
        <v>60</v>
      </c>
    </row>
    <row r="316" spans="1:17" x14ac:dyDescent="0.25">
      <c r="A316" s="11" t="s">
        <v>729</v>
      </c>
      <c r="B316" s="12">
        <v>45696</v>
      </c>
      <c r="C316" s="11" t="s">
        <v>730</v>
      </c>
      <c r="D316" s="11" t="s">
        <v>731</v>
      </c>
      <c r="E316" s="11" t="s">
        <v>30</v>
      </c>
      <c r="F316" s="11" t="s">
        <v>31</v>
      </c>
      <c r="G316" s="11">
        <v>4</v>
      </c>
      <c r="H316" s="11">
        <v>1200</v>
      </c>
      <c r="I316" s="11">
        <v>0.15</v>
      </c>
      <c r="J316" s="11">
        <v>4080</v>
      </c>
      <c r="K316" s="11">
        <v>3689.24</v>
      </c>
      <c r="L316" s="11">
        <v>390.76</v>
      </c>
      <c r="M316" s="11" t="s">
        <v>43</v>
      </c>
      <c r="N316" s="11" t="s">
        <v>44</v>
      </c>
      <c r="O316" s="11" t="s">
        <v>24</v>
      </c>
      <c r="P316" s="11" t="s">
        <v>46</v>
      </c>
      <c r="Q316" s="11" t="s">
        <v>26</v>
      </c>
    </row>
    <row r="317" spans="1:17" x14ac:dyDescent="0.25">
      <c r="A317" s="11" t="s">
        <v>732</v>
      </c>
      <c r="B317" s="12">
        <v>45659</v>
      </c>
      <c r="C317" s="11" t="s">
        <v>733</v>
      </c>
      <c r="D317" s="11" t="s">
        <v>734</v>
      </c>
      <c r="E317" s="11" t="s">
        <v>123</v>
      </c>
      <c r="F317" s="11" t="s">
        <v>21</v>
      </c>
      <c r="G317" s="11">
        <v>3</v>
      </c>
      <c r="H317" s="11">
        <v>2200</v>
      </c>
      <c r="I317" s="11">
        <v>0.2</v>
      </c>
      <c r="J317" s="11">
        <v>5280</v>
      </c>
      <c r="K317" s="11">
        <v>5765.72</v>
      </c>
      <c r="L317" s="11">
        <v>-485.72</v>
      </c>
      <c r="M317" s="11" t="s">
        <v>43</v>
      </c>
      <c r="N317" s="11" t="s">
        <v>44</v>
      </c>
      <c r="O317" s="11" t="s">
        <v>45</v>
      </c>
      <c r="P317" s="11" t="s">
        <v>46</v>
      </c>
      <c r="Q317" s="11" t="s">
        <v>26</v>
      </c>
    </row>
    <row r="318" spans="1:17" x14ac:dyDescent="0.25">
      <c r="A318" s="11" t="s">
        <v>735</v>
      </c>
      <c r="B318" s="12">
        <v>45766</v>
      </c>
      <c r="C318" s="11" t="s">
        <v>633</v>
      </c>
      <c r="D318" s="11" t="s">
        <v>634</v>
      </c>
      <c r="E318" s="11" t="s">
        <v>85</v>
      </c>
      <c r="F318" s="11" t="s">
        <v>86</v>
      </c>
      <c r="G318" s="11">
        <v>2</v>
      </c>
      <c r="H318" s="11">
        <v>450</v>
      </c>
      <c r="I318" s="11">
        <v>0</v>
      </c>
      <c r="J318" s="11">
        <v>765</v>
      </c>
      <c r="K318" s="11">
        <v>651.83000000000004</v>
      </c>
      <c r="L318" s="11">
        <v>113.17</v>
      </c>
      <c r="M318" s="11" t="s">
        <v>70</v>
      </c>
      <c r="N318" s="11" t="s">
        <v>71</v>
      </c>
      <c r="O318" s="11" t="s">
        <v>45</v>
      </c>
      <c r="P318" s="11" t="s">
        <v>46</v>
      </c>
      <c r="Q318" s="11" t="s">
        <v>47</v>
      </c>
    </row>
    <row r="319" spans="1:17" x14ac:dyDescent="0.25">
      <c r="A319" s="11" t="s">
        <v>736</v>
      </c>
      <c r="B319" s="12">
        <v>45833</v>
      </c>
      <c r="C319" s="11" t="s">
        <v>52</v>
      </c>
      <c r="D319" s="11" t="s">
        <v>53</v>
      </c>
      <c r="E319" s="11" t="s">
        <v>107</v>
      </c>
      <c r="F319" s="11" t="s">
        <v>108</v>
      </c>
      <c r="G319" s="11">
        <v>5</v>
      </c>
      <c r="H319" s="11">
        <v>1400</v>
      </c>
      <c r="I319" s="11">
        <v>0.15</v>
      </c>
      <c r="J319" s="11">
        <v>5950</v>
      </c>
      <c r="K319" s="11">
        <v>4710.32</v>
      </c>
      <c r="L319" s="11">
        <v>1239.68</v>
      </c>
      <c r="M319" s="11" t="s">
        <v>99</v>
      </c>
      <c r="N319" s="11" t="s">
        <v>71</v>
      </c>
      <c r="O319" s="11" t="s">
        <v>32</v>
      </c>
      <c r="P319" s="11" t="s">
        <v>55</v>
      </c>
      <c r="Q319" s="11" t="s">
        <v>26</v>
      </c>
    </row>
    <row r="320" spans="1:17" x14ac:dyDescent="0.25">
      <c r="A320" s="11" t="s">
        <v>737</v>
      </c>
      <c r="B320" s="12">
        <v>45658</v>
      </c>
      <c r="C320" s="11" t="s">
        <v>519</v>
      </c>
      <c r="D320" s="11" t="s">
        <v>520</v>
      </c>
      <c r="E320" s="11" t="s">
        <v>93</v>
      </c>
      <c r="F320" s="11" t="s">
        <v>94</v>
      </c>
      <c r="G320" s="11">
        <v>4</v>
      </c>
      <c r="H320" s="11">
        <v>2800</v>
      </c>
      <c r="I320" s="13">
        <v>0.15</v>
      </c>
      <c r="J320" s="11">
        <v>9520</v>
      </c>
      <c r="K320" s="11">
        <v>9844.91</v>
      </c>
      <c r="L320" s="11">
        <v>-324.91000000000003</v>
      </c>
      <c r="M320" s="11" t="s">
        <v>75</v>
      </c>
      <c r="N320" s="11" t="s">
        <v>76</v>
      </c>
      <c r="O320" s="11" t="s">
        <v>24</v>
      </c>
      <c r="P320" s="11" t="s">
        <v>46</v>
      </c>
      <c r="Q320" s="11" t="s">
        <v>26</v>
      </c>
    </row>
    <row r="321" spans="1:17" x14ac:dyDescent="0.25">
      <c r="A321" s="11" t="s">
        <v>738</v>
      </c>
      <c r="B321" s="12">
        <v>45786</v>
      </c>
      <c r="C321" s="11" t="s">
        <v>650</v>
      </c>
      <c r="D321" s="11" t="s">
        <v>651</v>
      </c>
      <c r="E321" s="11" t="s">
        <v>41</v>
      </c>
      <c r="F321" s="11" t="s">
        <v>42</v>
      </c>
      <c r="G321" s="11">
        <v>1</v>
      </c>
      <c r="H321" s="11">
        <v>7500</v>
      </c>
      <c r="I321" s="11">
        <v>0.1</v>
      </c>
      <c r="J321" s="11">
        <v>6750</v>
      </c>
      <c r="K321" s="11">
        <v>6021.28</v>
      </c>
      <c r="L321" s="11">
        <v>728.72</v>
      </c>
      <c r="M321" s="11" t="s">
        <v>43</v>
      </c>
      <c r="N321" s="11" t="s">
        <v>44</v>
      </c>
      <c r="O321" s="11" t="s">
        <v>32</v>
      </c>
      <c r="P321" s="11" t="s">
        <v>95</v>
      </c>
      <c r="Q321" s="11" t="s">
        <v>26</v>
      </c>
    </row>
    <row r="322" spans="1:17" x14ac:dyDescent="0.25">
      <c r="A322" s="11" t="s">
        <v>739</v>
      </c>
      <c r="B322" s="12">
        <v>45877</v>
      </c>
      <c r="C322" s="11" t="s">
        <v>725</v>
      </c>
      <c r="D322" s="11" t="s">
        <v>726</v>
      </c>
      <c r="E322" s="11" t="s">
        <v>85</v>
      </c>
      <c r="F322" s="11" t="s">
        <v>86</v>
      </c>
      <c r="G322" s="11">
        <v>3</v>
      </c>
      <c r="H322" s="11">
        <v>450</v>
      </c>
      <c r="I322" s="13">
        <v>0.05</v>
      </c>
      <c r="J322" s="11">
        <v>1282.5</v>
      </c>
      <c r="K322" s="11">
        <v>907.05</v>
      </c>
      <c r="L322" s="11">
        <v>375.45</v>
      </c>
      <c r="M322" s="11" t="s">
        <v>43</v>
      </c>
      <c r="N322" s="11" t="s">
        <v>44</v>
      </c>
      <c r="O322" s="11" t="s">
        <v>45</v>
      </c>
      <c r="P322" s="11" t="s">
        <v>37</v>
      </c>
      <c r="Q322" s="11" t="s">
        <v>26</v>
      </c>
    </row>
    <row r="323" spans="1:17" x14ac:dyDescent="0.25">
      <c r="A323" s="11" t="s">
        <v>740</v>
      </c>
      <c r="B323" s="12">
        <v>45923</v>
      </c>
      <c r="C323" s="11" t="s">
        <v>593</v>
      </c>
      <c r="D323" s="11" t="s">
        <v>594</v>
      </c>
      <c r="E323" s="11" t="s">
        <v>107</v>
      </c>
      <c r="F323" s="11" t="s">
        <v>108</v>
      </c>
      <c r="G323" s="11">
        <v>5</v>
      </c>
      <c r="H323" s="11">
        <v>1400</v>
      </c>
      <c r="I323" s="11">
        <v>0.05</v>
      </c>
      <c r="J323" s="11">
        <v>6650</v>
      </c>
      <c r="K323" s="11">
        <v>4562.9799999999996</v>
      </c>
      <c r="L323" s="11">
        <v>2087.02</v>
      </c>
      <c r="M323" s="11" t="s">
        <v>70</v>
      </c>
      <c r="N323" s="11" t="s">
        <v>71</v>
      </c>
      <c r="O323" s="11" t="s">
        <v>32</v>
      </c>
      <c r="P323" s="11" t="s">
        <v>55</v>
      </c>
      <c r="Q323" s="11" t="s">
        <v>26</v>
      </c>
    </row>
    <row r="324" spans="1:17" x14ac:dyDescent="0.25">
      <c r="A324" s="11" t="s">
        <v>741</v>
      </c>
      <c r="B324" s="12">
        <v>45775</v>
      </c>
      <c r="C324" s="11" t="s">
        <v>742</v>
      </c>
      <c r="D324" s="11" t="s">
        <v>743</v>
      </c>
      <c r="E324" s="11" t="s">
        <v>107</v>
      </c>
      <c r="F324" s="11" t="s">
        <v>108</v>
      </c>
      <c r="G324" s="11">
        <v>4</v>
      </c>
      <c r="H324" s="11">
        <v>1400</v>
      </c>
      <c r="I324" s="13">
        <v>0</v>
      </c>
      <c r="J324" s="11">
        <v>5600</v>
      </c>
      <c r="K324" s="11">
        <v>4581.22</v>
      </c>
      <c r="L324" s="11">
        <v>1018.78</v>
      </c>
      <c r="M324" s="11" t="s">
        <v>75</v>
      </c>
      <c r="N324" s="11" t="s">
        <v>76</v>
      </c>
      <c r="O324" s="11" t="s">
        <v>32</v>
      </c>
      <c r="P324" s="11" t="s">
        <v>55</v>
      </c>
      <c r="Q324" s="11" t="s">
        <v>26</v>
      </c>
    </row>
    <row r="325" spans="1:17" x14ac:dyDescent="0.25">
      <c r="A325" s="11" t="s">
        <v>744</v>
      </c>
      <c r="B325" s="12">
        <v>45853</v>
      </c>
      <c r="C325" s="11" t="s">
        <v>745</v>
      </c>
      <c r="D325" s="11" t="s">
        <v>746</v>
      </c>
      <c r="E325" s="11" t="s">
        <v>54</v>
      </c>
      <c r="F325" s="11" t="s">
        <v>31</v>
      </c>
      <c r="G325" s="11">
        <v>3</v>
      </c>
      <c r="H325" s="11">
        <v>2800</v>
      </c>
      <c r="I325" s="13">
        <v>0.05</v>
      </c>
      <c r="J325" s="11">
        <v>7980</v>
      </c>
      <c r="K325" s="11">
        <v>7378.36</v>
      </c>
      <c r="L325" s="11">
        <v>601.64</v>
      </c>
      <c r="M325" s="11" t="s">
        <v>80</v>
      </c>
      <c r="N325" s="11" t="s">
        <v>81</v>
      </c>
      <c r="O325" s="11" t="s">
        <v>24</v>
      </c>
      <c r="P325" s="11" t="s">
        <v>55</v>
      </c>
      <c r="Q325" s="11" t="s">
        <v>47</v>
      </c>
    </row>
    <row r="326" spans="1:17" x14ac:dyDescent="0.25">
      <c r="A326" s="11" t="s">
        <v>747</v>
      </c>
      <c r="B326" s="12">
        <v>45883</v>
      </c>
      <c r="C326" s="11" t="s">
        <v>568</v>
      </c>
      <c r="D326" s="11" t="s">
        <v>569</v>
      </c>
      <c r="E326" s="11" t="s">
        <v>158</v>
      </c>
      <c r="F326" s="11" t="s">
        <v>21</v>
      </c>
      <c r="G326" s="11">
        <v>5</v>
      </c>
      <c r="H326" s="11">
        <v>55000</v>
      </c>
      <c r="I326" s="11">
        <v>0.05</v>
      </c>
      <c r="J326" s="11">
        <v>261250</v>
      </c>
      <c r="K326" s="11">
        <v>192225.76</v>
      </c>
      <c r="L326" s="11">
        <v>69024.240000000005</v>
      </c>
      <c r="M326" s="11" t="s">
        <v>59</v>
      </c>
      <c r="N326" s="11" t="s">
        <v>59</v>
      </c>
      <c r="O326" s="11" t="s">
        <v>24</v>
      </c>
      <c r="P326" s="11" t="s">
        <v>95</v>
      </c>
      <c r="Q326" s="11" t="s">
        <v>26</v>
      </c>
    </row>
    <row r="327" spans="1:17" x14ac:dyDescent="0.25">
      <c r="A327" s="11" t="s">
        <v>748</v>
      </c>
      <c r="B327" s="12">
        <v>45709</v>
      </c>
      <c r="C327" s="11" t="s">
        <v>263</v>
      </c>
      <c r="D327" s="11" t="s">
        <v>264</v>
      </c>
      <c r="E327" s="11" t="s">
        <v>131</v>
      </c>
      <c r="F327" s="11" t="s">
        <v>21</v>
      </c>
      <c r="G327" s="11">
        <v>2</v>
      </c>
      <c r="H327" s="11">
        <v>1600</v>
      </c>
      <c r="I327" s="11">
        <v>0</v>
      </c>
      <c r="J327" s="11">
        <v>3200</v>
      </c>
      <c r="K327" s="11">
        <v>2170.64</v>
      </c>
      <c r="L327" s="11">
        <v>1029.3599999999999</v>
      </c>
      <c r="M327" s="11" t="s">
        <v>80</v>
      </c>
      <c r="N327" s="11" t="s">
        <v>81</v>
      </c>
      <c r="O327" s="11" t="s">
        <v>24</v>
      </c>
      <c r="P327" s="11" t="s">
        <v>37</v>
      </c>
      <c r="Q327" s="11" t="s">
        <v>26</v>
      </c>
    </row>
    <row r="328" spans="1:17" x14ac:dyDescent="0.25">
      <c r="A328" s="11" t="s">
        <v>749</v>
      </c>
      <c r="B328" s="12">
        <v>45784</v>
      </c>
      <c r="C328" s="11" t="s">
        <v>597</v>
      </c>
      <c r="D328" s="11" t="s">
        <v>598</v>
      </c>
      <c r="E328" s="11" t="s">
        <v>30</v>
      </c>
      <c r="F328" s="11" t="s">
        <v>31</v>
      </c>
      <c r="G328" s="11">
        <v>3</v>
      </c>
      <c r="H328" s="11">
        <v>1200</v>
      </c>
      <c r="I328" s="11">
        <v>0.05</v>
      </c>
      <c r="J328" s="11">
        <v>3420</v>
      </c>
      <c r="K328" s="11">
        <v>2409.7600000000002</v>
      </c>
      <c r="L328" s="11">
        <v>1010.24</v>
      </c>
      <c r="M328" s="11" t="s">
        <v>36</v>
      </c>
      <c r="N328" s="11" t="s">
        <v>23</v>
      </c>
      <c r="O328" s="11" t="s">
        <v>24</v>
      </c>
      <c r="P328" s="11" t="s">
        <v>25</v>
      </c>
      <c r="Q328" s="11" t="s">
        <v>47</v>
      </c>
    </row>
    <row r="329" spans="1:17" x14ac:dyDescent="0.25">
      <c r="A329" s="11" t="s">
        <v>750</v>
      </c>
      <c r="B329" s="12">
        <v>45763</v>
      </c>
      <c r="C329" s="11" t="s">
        <v>375</v>
      </c>
      <c r="D329" s="11" t="s">
        <v>376</v>
      </c>
      <c r="E329" s="11" t="s">
        <v>103</v>
      </c>
      <c r="F329" s="11" t="s">
        <v>42</v>
      </c>
      <c r="G329" s="11">
        <v>1</v>
      </c>
      <c r="H329" s="11">
        <v>6000</v>
      </c>
      <c r="I329" s="11">
        <v>0.1</v>
      </c>
      <c r="J329" s="11">
        <v>5400</v>
      </c>
      <c r="K329" s="11">
        <v>4440.62</v>
      </c>
      <c r="L329" s="11">
        <v>959.38</v>
      </c>
      <c r="M329" s="11" t="s">
        <v>22</v>
      </c>
      <c r="N329" s="11" t="s">
        <v>23</v>
      </c>
      <c r="O329" s="11" t="s">
        <v>24</v>
      </c>
      <c r="P329" s="11" t="s">
        <v>55</v>
      </c>
      <c r="Q329" s="11" t="s">
        <v>26</v>
      </c>
    </row>
    <row r="330" spans="1:17" x14ac:dyDescent="0.25">
      <c r="A330" s="11" t="s">
        <v>751</v>
      </c>
      <c r="B330" s="12">
        <v>45781</v>
      </c>
      <c r="C330" s="11" t="s">
        <v>359</v>
      </c>
      <c r="D330" s="11" t="s">
        <v>360</v>
      </c>
      <c r="E330" s="11" t="s">
        <v>123</v>
      </c>
      <c r="F330" s="11" t="s">
        <v>21</v>
      </c>
      <c r="G330" s="11">
        <v>4</v>
      </c>
      <c r="H330" s="11">
        <v>2200</v>
      </c>
      <c r="I330" s="11">
        <v>0</v>
      </c>
      <c r="J330" s="11">
        <v>8800</v>
      </c>
      <c r="K330" s="11">
        <v>6922.11</v>
      </c>
      <c r="L330" s="11">
        <v>1877.89</v>
      </c>
      <c r="M330" s="11" t="s">
        <v>70</v>
      </c>
      <c r="N330" s="11" t="s">
        <v>71</v>
      </c>
      <c r="O330" s="11" t="s">
        <v>32</v>
      </c>
      <c r="P330" s="11" t="s">
        <v>55</v>
      </c>
      <c r="Q330" s="11" t="s">
        <v>26</v>
      </c>
    </row>
    <row r="331" spans="1:17" x14ac:dyDescent="0.25">
      <c r="A331" s="11" t="s">
        <v>752</v>
      </c>
      <c r="B331" s="12">
        <v>45949</v>
      </c>
      <c r="C331" s="11" t="s">
        <v>191</v>
      </c>
      <c r="D331" s="11" t="s">
        <v>192</v>
      </c>
      <c r="E331" s="11" t="s">
        <v>66</v>
      </c>
      <c r="F331" s="11" t="s">
        <v>31</v>
      </c>
      <c r="G331" s="11">
        <v>2</v>
      </c>
      <c r="H331" s="11">
        <v>3500</v>
      </c>
      <c r="I331" s="13">
        <v>0.15</v>
      </c>
      <c r="J331" s="11">
        <v>5950</v>
      </c>
      <c r="K331" s="11">
        <v>5429.63</v>
      </c>
      <c r="L331" s="11">
        <v>520.37</v>
      </c>
      <c r="M331" s="11" t="s">
        <v>75</v>
      </c>
      <c r="N331" s="11" t="s">
        <v>76</v>
      </c>
      <c r="O331" s="11" t="s">
        <v>32</v>
      </c>
      <c r="P331" s="11" t="s">
        <v>37</v>
      </c>
      <c r="Q331" s="11" t="s">
        <v>26</v>
      </c>
    </row>
    <row r="332" spans="1:17" x14ac:dyDescent="0.25">
      <c r="A332" s="11" t="s">
        <v>753</v>
      </c>
      <c r="B332" s="12">
        <v>45665</v>
      </c>
      <c r="C332" s="11" t="s">
        <v>754</v>
      </c>
      <c r="D332" s="11" t="s">
        <v>755</v>
      </c>
      <c r="E332" s="11" t="s">
        <v>158</v>
      </c>
      <c r="F332" s="11" t="s">
        <v>21</v>
      </c>
      <c r="G332" s="11">
        <v>5</v>
      </c>
      <c r="H332" s="11">
        <v>55000</v>
      </c>
      <c r="I332" s="13">
        <v>0</v>
      </c>
      <c r="J332" s="11">
        <v>275000</v>
      </c>
      <c r="K332" s="11">
        <v>181269.05</v>
      </c>
      <c r="L332" s="11">
        <v>93730.95</v>
      </c>
      <c r="M332" s="11" t="s">
        <v>36</v>
      </c>
      <c r="N332" s="11" t="s">
        <v>23</v>
      </c>
      <c r="O332" s="11" t="s">
        <v>24</v>
      </c>
      <c r="P332" s="11" t="s">
        <v>37</v>
      </c>
      <c r="Q332" s="11" t="s">
        <v>47</v>
      </c>
    </row>
    <row r="333" spans="1:17" x14ac:dyDescent="0.25">
      <c r="A333" s="11" t="s">
        <v>756</v>
      </c>
      <c r="B333" s="12">
        <v>45874</v>
      </c>
      <c r="C333" s="11" t="s">
        <v>101</v>
      </c>
      <c r="D333" s="11" t="s">
        <v>102</v>
      </c>
      <c r="E333" s="11" t="s">
        <v>103</v>
      </c>
      <c r="F333" s="11" t="s">
        <v>42</v>
      </c>
      <c r="G333" s="11">
        <v>5</v>
      </c>
      <c r="H333" s="11">
        <v>6000</v>
      </c>
      <c r="I333" s="11">
        <v>0.15</v>
      </c>
      <c r="J333" s="11">
        <v>25500</v>
      </c>
      <c r="K333" s="11">
        <v>23919.71</v>
      </c>
      <c r="L333" s="11">
        <v>1580.29</v>
      </c>
      <c r="M333" s="11" t="s">
        <v>75</v>
      </c>
      <c r="N333" s="11" t="s">
        <v>76</v>
      </c>
      <c r="O333" s="11" t="s">
        <v>24</v>
      </c>
      <c r="P333" s="11" t="s">
        <v>25</v>
      </c>
      <c r="Q333" s="11" t="s">
        <v>26</v>
      </c>
    </row>
    <row r="334" spans="1:17" x14ac:dyDescent="0.25">
      <c r="A334" s="11" t="s">
        <v>757</v>
      </c>
      <c r="B334" s="12">
        <v>45698</v>
      </c>
      <c r="C334" s="11" t="s">
        <v>49</v>
      </c>
      <c r="D334" s="11" t="s">
        <v>50</v>
      </c>
      <c r="E334" s="11" t="s">
        <v>41</v>
      </c>
      <c r="F334" s="11" t="s">
        <v>42</v>
      </c>
      <c r="G334" s="11">
        <v>1</v>
      </c>
      <c r="H334" s="11">
        <v>7500</v>
      </c>
      <c r="I334" s="11">
        <v>0.1</v>
      </c>
      <c r="J334" s="11">
        <v>6750</v>
      </c>
      <c r="K334" s="11">
        <v>6268.9</v>
      </c>
      <c r="L334" s="11">
        <v>481.1</v>
      </c>
      <c r="M334" s="11" t="s">
        <v>22</v>
      </c>
      <c r="N334" s="11" t="s">
        <v>23</v>
      </c>
      <c r="O334" s="11" t="s">
        <v>45</v>
      </c>
      <c r="P334" s="11" t="s">
        <v>46</v>
      </c>
      <c r="Q334" s="11" t="s">
        <v>26</v>
      </c>
    </row>
    <row r="335" spans="1:17" x14ac:dyDescent="0.25">
      <c r="A335" s="11" t="s">
        <v>758</v>
      </c>
      <c r="B335" s="12">
        <v>45780</v>
      </c>
      <c r="C335" s="11" t="s">
        <v>587</v>
      </c>
      <c r="D335" s="11" t="s">
        <v>588</v>
      </c>
      <c r="E335" s="11" t="s">
        <v>62</v>
      </c>
      <c r="F335" s="11" t="s">
        <v>21</v>
      </c>
      <c r="G335" s="11">
        <v>3</v>
      </c>
      <c r="H335" s="11">
        <v>1800</v>
      </c>
      <c r="I335" s="11">
        <v>0.15</v>
      </c>
      <c r="J335" s="11">
        <v>4590</v>
      </c>
      <c r="K335" s="11">
        <v>3617.08</v>
      </c>
      <c r="L335" s="11">
        <v>972.92</v>
      </c>
      <c r="M335" s="11" t="s">
        <v>99</v>
      </c>
      <c r="N335" s="11" t="s">
        <v>71</v>
      </c>
      <c r="O335" s="11" t="s">
        <v>32</v>
      </c>
      <c r="P335" s="11" t="s">
        <v>55</v>
      </c>
      <c r="Q335" s="11" t="s">
        <v>26</v>
      </c>
    </row>
    <row r="336" spans="1:17" x14ac:dyDescent="0.25">
      <c r="A336" s="11" t="s">
        <v>759</v>
      </c>
      <c r="B336" s="12">
        <v>45719</v>
      </c>
      <c r="C336" s="11" t="s">
        <v>257</v>
      </c>
      <c r="D336" s="11" t="s">
        <v>258</v>
      </c>
      <c r="E336" s="11" t="s">
        <v>141</v>
      </c>
      <c r="F336" s="11" t="s">
        <v>21</v>
      </c>
      <c r="G336" s="11">
        <v>3</v>
      </c>
      <c r="H336" s="11">
        <v>22000</v>
      </c>
      <c r="I336" s="13">
        <v>0.05</v>
      </c>
      <c r="J336" s="11">
        <v>62700</v>
      </c>
      <c r="K336" s="11">
        <v>44982.879999999997</v>
      </c>
      <c r="L336" s="11">
        <v>17717.12</v>
      </c>
      <c r="M336" s="11" t="s">
        <v>99</v>
      </c>
      <c r="N336" s="11" t="s">
        <v>71</v>
      </c>
      <c r="O336" s="11" t="s">
        <v>45</v>
      </c>
      <c r="P336" s="11" t="s">
        <v>95</v>
      </c>
      <c r="Q336" s="11" t="s">
        <v>26</v>
      </c>
    </row>
    <row r="337" spans="1:17" x14ac:dyDescent="0.25">
      <c r="A337" s="11" t="s">
        <v>760</v>
      </c>
      <c r="B337" s="12">
        <v>45790</v>
      </c>
      <c r="C337" s="11" t="s">
        <v>650</v>
      </c>
      <c r="D337" s="11" t="s">
        <v>651</v>
      </c>
      <c r="E337" s="11" t="s">
        <v>54</v>
      </c>
      <c r="F337" s="11" t="s">
        <v>31</v>
      </c>
      <c r="G337" s="11">
        <v>5</v>
      </c>
      <c r="H337" s="11">
        <v>2800</v>
      </c>
      <c r="I337" s="11">
        <v>0.2</v>
      </c>
      <c r="J337" s="11">
        <v>11200</v>
      </c>
      <c r="K337" s="11">
        <v>9508.7199999999993</v>
      </c>
      <c r="L337" s="11">
        <v>1691.28</v>
      </c>
      <c r="M337" s="11" t="s">
        <v>80</v>
      </c>
      <c r="N337" s="11" t="s">
        <v>81</v>
      </c>
      <c r="O337" s="11" t="s">
        <v>24</v>
      </c>
      <c r="P337" s="11" t="s">
        <v>55</v>
      </c>
      <c r="Q337" s="11" t="s">
        <v>26</v>
      </c>
    </row>
    <row r="338" spans="1:17" x14ac:dyDescent="0.25">
      <c r="A338" s="11" t="s">
        <v>761</v>
      </c>
      <c r="B338" s="12">
        <v>45926</v>
      </c>
      <c r="C338" s="11" t="s">
        <v>762</v>
      </c>
      <c r="D338" s="11" t="s">
        <v>763</v>
      </c>
      <c r="E338" s="11" t="s">
        <v>66</v>
      </c>
      <c r="F338" s="11" t="s">
        <v>31</v>
      </c>
      <c r="G338" s="11">
        <v>4</v>
      </c>
      <c r="H338" s="11">
        <v>3500</v>
      </c>
      <c r="I338" s="11">
        <v>0.1</v>
      </c>
      <c r="J338" s="11">
        <v>12600</v>
      </c>
      <c r="K338" s="11">
        <v>11393.68</v>
      </c>
      <c r="L338" s="11">
        <v>1206.32</v>
      </c>
      <c r="M338" s="11" t="s">
        <v>43</v>
      </c>
      <c r="N338" s="11" t="s">
        <v>44</v>
      </c>
      <c r="O338" s="11" t="s">
        <v>45</v>
      </c>
      <c r="P338" s="11" t="s">
        <v>55</v>
      </c>
      <c r="Q338" s="11" t="s">
        <v>26</v>
      </c>
    </row>
    <row r="339" spans="1:17" x14ac:dyDescent="0.25">
      <c r="A339" s="11" t="s">
        <v>764</v>
      </c>
      <c r="B339" s="12">
        <v>45686</v>
      </c>
      <c r="C339" s="11" t="s">
        <v>765</v>
      </c>
      <c r="D339" s="11" t="s">
        <v>766</v>
      </c>
      <c r="E339" s="11" t="s">
        <v>131</v>
      </c>
      <c r="F339" s="11" t="s">
        <v>21</v>
      </c>
      <c r="G339" s="11">
        <v>5</v>
      </c>
      <c r="H339" s="11">
        <v>1600</v>
      </c>
      <c r="I339" s="11">
        <v>0.1</v>
      </c>
      <c r="J339" s="11">
        <v>7200</v>
      </c>
      <c r="K339" s="11">
        <v>6243.07</v>
      </c>
      <c r="L339" s="11">
        <v>956.93</v>
      </c>
      <c r="M339" s="11" t="s">
        <v>70</v>
      </c>
      <c r="N339" s="11" t="s">
        <v>71</v>
      </c>
      <c r="O339" s="11" t="s">
        <v>32</v>
      </c>
      <c r="P339" s="11" t="s">
        <v>95</v>
      </c>
      <c r="Q339" s="11" t="s">
        <v>26</v>
      </c>
    </row>
    <row r="340" spans="1:17" x14ac:dyDescent="0.25">
      <c r="A340" s="11" t="s">
        <v>767</v>
      </c>
      <c r="B340" s="12">
        <v>45774</v>
      </c>
      <c r="C340" s="11" t="s">
        <v>52</v>
      </c>
      <c r="D340" s="11" t="s">
        <v>53</v>
      </c>
      <c r="E340" s="11" t="s">
        <v>20</v>
      </c>
      <c r="F340" s="11" t="s">
        <v>21</v>
      </c>
      <c r="G340" s="11">
        <v>5</v>
      </c>
      <c r="H340" s="11">
        <v>4500</v>
      </c>
      <c r="I340" s="13">
        <v>0</v>
      </c>
      <c r="J340" s="11">
        <v>22500</v>
      </c>
      <c r="K340" s="11">
        <v>19068.72</v>
      </c>
      <c r="L340" s="11">
        <v>3431.28</v>
      </c>
      <c r="M340" s="11" t="s">
        <v>99</v>
      </c>
      <c r="N340" s="11" t="s">
        <v>71</v>
      </c>
      <c r="O340" s="11" t="s">
        <v>32</v>
      </c>
      <c r="P340" s="11" t="s">
        <v>95</v>
      </c>
      <c r="Q340" s="11" t="s">
        <v>26</v>
      </c>
    </row>
    <row r="341" spans="1:17" x14ac:dyDescent="0.25">
      <c r="A341" s="11" t="s">
        <v>768</v>
      </c>
      <c r="B341" s="12">
        <v>45734</v>
      </c>
      <c r="C341" s="11" t="s">
        <v>330</v>
      </c>
      <c r="D341" s="11" t="s">
        <v>331</v>
      </c>
      <c r="E341" s="11" t="s">
        <v>123</v>
      </c>
      <c r="F341" s="11" t="s">
        <v>21</v>
      </c>
      <c r="G341" s="11">
        <v>3</v>
      </c>
      <c r="H341" s="11">
        <v>2200</v>
      </c>
      <c r="I341" s="13">
        <v>0.15</v>
      </c>
      <c r="J341" s="11">
        <v>5610</v>
      </c>
      <c r="K341" s="11">
        <v>5747.8</v>
      </c>
      <c r="L341" s="11">
        <v>-137.80000000000001</v>
      </c>
      <c r="M341" s="11" t="s">
        <v>80</v>
      </c>
      <c r="N341" s="11" t="s">
        <v>81</v>
      </c>
      <c r="O341" s="11" t="s">
        <v>45</v>
      </c>
      <c r="P341" s="11" t="s">
        <v>25</v>
      </c>
      <c r="Q341" s="11" t="s">
        <v>60</v>
      </c>
    </row>
    <row r="342" spans="1:17" x14ac:dyDescent="0.25">
      <c r="A342" s="11" t="s">
        <v>769</v>
      </c>
      <c r="B342" s="12">
        <v>45785</v>
      </c>
      <c r="C342" s="11" t="s">
        <v>382</v>
      </c>
      <c r="D342" s="11" t="s">
        <v>383</v>
      </c>
      <c r="E342" s="11" t="s">
        <v>30</v>
      </c>
      <c r="F342" s="11" t="s">
        <v>31</v>
      </c>
      <c r="G342" s="11">
        <v>2</v>
      </c>
      <c r="H342" s="11">
        <v>1200</v>
      </c>
      <c r="I342" s="11">
        <v>0.1</v>
      </c>
      <c r="J342" s="11">
        <v>2160</v>
      </c>
      <c r="K342" s="11">
        <v>1957.6</v>
      </c>
      <c r="L342" s="11">
        <v>202.4</v>
      </c>
      <c r="M342" s="11" t="s">
        <v>75</v>
      </c>
      <c r="N342" s="11" t="s">
        <v>76</v>
      </c>
      <c r="O342" s="11" t="s">
        <v>24</v>
      </c>
      <c r="P342" s="11" t="s">
        <v>55</v>
      </c>
      <c r="Q342" s="11" t="s">
        <v>47</v>
      </c>
    </row>
    <row r="343" spans="1:17" x14ac:dyDescent="0.25">
      <c r="A343" s="11" t="s">
        <v>770</v>
      </c>
      <c r="B343" s="12">
        <v>46002</v>
      </c>
      <c r="C343" s="11" t="s">
        <v>278</v>
      </c>
      <c r="D343" s="11" t="s">
        <v>279</v>
      </c>
      <c r="E343" s="11" t="s">
        <v>54</v>
      </c>
      <c r="F343" s="11" t="s">
        <v>31</v>
      </c>
      <c r="G343" s="11">
        <v>1</v>
      </c>
      <c r="H343" s="11">
        <v>2800</v>
      </c>
      <c r="I343" s="11">
        <v>0.2</v>
      </c>
      <c r="J343" s="11">
        <v>2240</v>
      </c>
      <c r="K343" s="11">
        <v>1963.73</v>
      </c>
      <c r="L343" s="11">
        <v>276.27</v>
      </c>
      <c r="M343" s="11" t="s">
        <v>99</v>
      </c>
      <c r="N343" s="11" t="s">
        <v>71</v>
      </c>
      <c r="O343" s="11" t="s">
        <v>32</v>
      </c>
      <c r="P343" s="11" t="s">
        <v>55</v>
      </c>
      <c r="Q343" s="11" t="s">
        <v>26</v>
      </c>
    </row>
    <row r="344" spans="1:17" x14ac:dyDescent="0.25">
      <c r="A344" s="11" t="s">
        <v>771</v>
      </c>
      <c r="B344" s="12">
        <v>45817</v>
      </c>
      <c r="C344" s="11" t="s">
        <v>742</v>
      </c>
      <c r="D344" s="11" t="s">
        <v>743</v>
      </c>
      <c r="E344" s="11" t="s">
        <v>62</v>
      </c>
      <c r="F344" s="11" t="s">
        <v>21</v>
      </c>
      <c r="G344" s="11">
        <v>4</v>
      </c>
      <c r="H344" s="11">
        <v>1800</v>
      </c>
      <c r="I344" s="13">
        <v>0.1</v>
      </c>
      <c r="J344" s="11">
        <v>6480</v>
      </c>
      <c r="K344" s="11">
        <v>5595.92</v>
      </c>
      <c r="L344" s="11">
        <v>884.08</v>
      </c>
      <c r="M344" s="11" t="s">
        <v>59</v>
      </c>
      <c r="N344" s="11" t="s">
        <v>59</v>
      </c>
      <c r="O344" s="11" t="s">
        <v>45</v>
      </c>
      <c r="P344" s="11" t="s">
        <v>46</v>
      </c>
      <c r="Q344" s="11" t="s">
        <v>26</v>
      </c>
    </row>
    <row r="345" spans="1:17" x14ac:dyDescent="0.25">
      <c r="A345" s="11" t="s">
        <v>772</v>
      </c>
      <c r="B345" s="12">
        <v>45976</v>
      </c>
      <c r="C345" s="11" t="s">
        <v>454</v>
      </c>
      <c r="D345" s="11" t="s">
        <v>455</v>
      </c>
      <c r="E345" s="11" t="s">
        <v>103</v>
      </c>
      <c r="F345" s="11" t="s">
        <v>42</v>
      </c>
      <c r="G345" s="11">
        <v>5</v>
      </c>
      <c r="H345" s="11">
        <v>6000</v>
      </c>
      <c r="I345" s="11">
        <v>0.1</v>
      </c>
      <c r="J345" s="11">
        <v>27000</v>
      </c>
      <c r="K345" s="11">
        <v>22041.09</v>
      </c>
      <c r="L345" s="11">
        <v>4958.91</v>
      </c>
      <c r="M345" s="11" t="s">
        <v>22</v>
      </c>
      <c r="N345" s="11" t="s">
        <v>23</v>
      </c>
      <c r="O345" s="11" t="s">
        <v>24</v>
      </c>
      <c r="P345" s="11" t="s">
        <v>95</v>
      </c>
      <c r="Q345" s="11" t="s">
        <v>60</v>
      </c>
    </row>
    <row r="346" spans="1:17" x14ac:dyDescent="0.25">
      <c r="A346" s="11" t="s">
        <v>773</v>
      </c>
      <c r="B346" s="12">
        <v>45867</v>
      </c>
      <c r="C346" s="11" t="s">
        <v>28</v>
      </c>
      <c r="D346" s="11" t="s">
        <v>29</v>
      </c>
      <c r="E346" s="11" t="s">
        <v>116</v>
      </c>
      <c r="F346" s="11" t="s">
        <v>94</v>
      </c>
      <c r="G346" s="11">
        <v>2</v>
      </c>
      <c r="H346" s="11">
        <v>1800</v>
      </c>
      <c r="I346" s="11">
        <v>0</v>
      </c>
      <c r="J346" s="11">
        <v>3600</v>
      </c>
      <c r="K346" s="11">
        <v>2788.4</v>
      </c>
      <c r="L346" s="11">
        <v>811.6</v>
      </c>
      <c r="M346" s="11" t="s">
        <v>99</v>
      </c>
      <c r="N346" s="11" t="s">
        <v>71</v>
      </c>
      <c r="O346" s="11" t="s">
        <v>45</v>
      </c>
      <c r="P346" s="11" t="s">
        <v>55</v>
      </c>
      <c r="Q346" s="11" t="s">
        <v>26</v>
      </c>
    </row>
    <row r="347" spans="1:17" x14ac:dyDescent="0.25">
      <c r="A347" s="11" t="s">
        <v>774</v>
      </c>
      <c r="B347" s="12">
        <v>45711</v>
      </c>
      <c r="C347" s="11" t="s">
        <v>105</v>
      </c>
      <c r="D347" s="11" t="s">
        <v>106</v>
      </c>
      <c r="E347" s="11" t="s">
        <v>158</v>
      </c>
      <c r="F347" s="11" t="s">
        <v>21</v>
      </c>
      <c r="G347" s="11">
        <v>4</v>
      </c>
      <c r="H347" s="11">
        <v>55000</v>
      </c>
      <c r="I347" s="11">
        <v>0.1</v>
      </c>
      <c r="J347" s="11">
        <v>198000</v>
      </c>
      <c r="K347" s="11">
        <v>192745.66</v>
      </c>
      <c r="L347" s="11">
        <v>5254.34</v>
      </c>
      <c r="M347" s="11" t="s">
        <v>22</v>
      </c>
      <c r="N347" s="11" t="s">
        <v>23</v>
      </c>
      <c r="O347" s="11" t="s">
        <v>45</v>
      </c>
      <c r="P347" s="11" t="s">
        <v>37</v>
      </c>
      <c r="Q347" s="11" t="s">
        <v>26</v>
      </c>
    </row>
    <row r="348" spans="1:17" x14ac:dyDescent="0.25">
      <c r="A348" s="11" t="s">
        <v>775</v>
      </c>
      <c r="B348" s="12">
        <v>45680</v>
      </c>
      <c r="C348" s="11" t="s">
        <v>662</v>
      </c>
      <c r="D348" s="11" t="s">
        <v>663</v>
      </c>
      <c r="E348" s="11" t="s">
        <v>107</v>
      </c>
      <c r="F348" s="11" t="s">
        <v>108</v>
      </c>
      <c r="G348" s="11">
        <v>3</v>
      </c>
      <c r="H348" s="11">
        <v>1400</v>
      </c>
      <c r="I348" s="11">
        <v>0</v>
      </c>
      <c r="J348" s="11">
        <v>4200</v>
      </c>
      <c r="K348" s="11">
        <v>3546.76</v>
      </c>
      <c r="L348" s="11">
        <v>653.24</v>
      </c>
      <c r="M348" s="11" t="s">
        <v>22</v>
      </c>
      <c r="N348" s="11" t="s">
        <v>23</v>
      </c>
      <c r="O348" s="11" t="s">
        <v>32</v>
      </c>
      <c r="P348" s="11" t="s">
        <v>46</v>
      </c>
      <c r="Q348" s="11" t="s">
        <v>26</v>
      </c>
    </row>
    <row r="349" spans="1:17" x14ac:dyDescent="0.25">
      <c r="A349" s="11" t="s">
        <v>776</v>
      </c>
      <c r="B349" s="12">
        <v>45916</v>
      </c>
      <c r="C349" s="11" t="s">
        <v>359</v>
      </c>
      <c r="D349" s="11" t="s">
        <v>360</v>
      </c>
      <c r="E349" s="11" t="s">
        <v>62</v>
      </c>
      <c r="F349" s="11" t="s">
        <v>21</v>
      </c>
      <c r="G349" s="11">
        <v>5</v>
      </c>
      <c r="H349" s="11">
        <v>1800</v>
      </c>
      <c r="I349" s="13">
        <v>0</v>
      </c>
      <c r="J349" s="11">
        <v>9000</v>
      </c>
      <c r="K349" s="11">
        <v>7547.32</v>
      </c>
      <c r="L349" s="11">
        <v>1452.68</v>
      </c>
      <c r="M349" s="11" t="s">
        <v>80</v>
      </c>
      <c r="N349" s="11" t="s">
        <v>81</v>
      </c>
      <c r="O349" s="11" t="s">
        <v>45</v>
      </c>
      <c r="P349" s="11" t="s">
        <v>25</v>
      </c>
      <c r="Q349" s="11" t="s">
        <v>47</v>
      </c>
    </row>
    <row r="350" spans="1:17" x14ac:dyDescent="0.25">
      <c r="A350" s="11" t="s">
        <v>777</v>
      </c>
      <c r="B350" s="12">
        <v>45779</v>
      </c>
      <c r="C350" s="11" t="s">
        <v>236</v>
      </c>
      <c r="D350" s="11" t="s">
        <v>237</v>
      </c>
      <c r="E350" s="11" t="s">
        <v>141</v>
      </c>
      <c r="F350" s="11" t="s">
        <v>21</v>
      </c>
      <c r="G350" s="11">
        <v>4</v>
      </c>
      <c r="H350" s="11">
        <v>22000</v>
      </c>
      <c r="I350" s="11">
        <v>0.05</v>
      </c>
      <c r="J350" s="11">
        <v>83600</v>
      </c>
      <c r="K350" s="11">
        <v>74422.490000000005</v>
      </c>
      <c r="L350" s="11">
        <v>9177.51</v>
      </c>
      <c r="M350" s="11" t="s">
        <v>36</v>
      </c>
      <c r="N350" s="11" t="s">
        <v>23</v>
      </c>
      <c r="O350" s="11" t="s">
        <v>24</v>
      </c>
      <c r="P350" s="11" t="s">
        <v>46</v>
      </c>
      <c r="Q350" s="11" t="s">
        <v>26</v>
      </c>
    </row>
    <row r="351" spans="1:17" x14ac:dyDescent="0.25">
      <c r="A351" s="11" t="s">
        <v>778</v>
      </c>
      <c r="B351" s="12">
        <v>45696</v>
      </c>
      <c r="C351" s="11" t="s">
        <v>779</v>
      </c>
      <c r="D351" s="11" t="s">
        <v>780</v>
      </c>
      <c r="E351" s="11" t="s">
        <v>131</v>
      </c>
      <c r="F351" s="11" t="s">
        <v>21</v>
      </c>
      <c r="G351" s="11">
        <v>3</v>
      </c>
      <c r="H351" s="11">
        <v>1600</v>
      </c>
      <c r="I351" s="11">
        <v>0.05</v>
      </c>
      <c r="J351" s="11">
        <v>4560</v>
      </c>
      <c r="K351" s="11">
        <v>3981.05</v>
      </c>
      <c r="L351" s="11">
        <v>578.95000000000005</v>
      </c>
      <c r="M351" s="11" t="s">
        <v>22</v>
      </c>
      <c r="N351" s="11" t="s">
        <v>23</v>
      </c>
      <c r="O351" s="11" t="s">
        <v>45</v>
      </c>
      <c r="P351" s="11" t="s">
        <v>55</v>
      </c>
      <c r="Q351" s="11" t="s">
        <v>26</v>
      </c>
    </row>
    <row r="352" spans="1:17" x14ac:dyDescent="0.25">
      <c r="A352" s="11" t="s">
        <v>781</v>
      </c>
      <c r="B352" s="12">
        <v>45896</v>
      </c>
      <c r="C352" s="11" t="s">
        <v>309</v>
      </c>
      <c r="D352" s="11" t="s">
        <v>310</v>
      </c>
      <c r="E352" s="11" t="s">
        <v>20</v>
      </c>
      <c r="F352" s="11" t="s">
        <v>21</v>
      </c>
      <c r="G352" s="11">
        <v>2</v>
      </c>
      <c r="H352" s="11">
        <v>4500</v>
      </c>
      <c r="I352" s="11">
        <v>0.15</v>
      </c>
      <c r="J352" s="11">
        <v>7650</v>
      </c>
      <c r="K352" s="11">
        <v>6099.93</v>
      </c>
      <c r="L352" s="11">
        <v>1550.07</v>
      </c>
      <c r="M352" s="11" t="s">
        <v>59</v>
      </c>
      <c r="N352" s="11" t="s">
        <v>59</v>
      </c>
      <c r="O352" s="11" t="s">
        <v>45</v>
      </c>
      <c r="P352" s="11" t="s">
        <v>95</v>
      </c>
      <c r="Q352" s="11" t="s">
        <v>26</v>
      </c>
    </row>
    <row r="353" spans="1:17" x14ac:dyDescent="0.25">
      <c r="A353" s="11" t="s">
        <v>782</v>
      </c>
      <c r="B353" s="12">
        <v>45719</v>
      </c>
      <c r="C353" s="11" t="s">
        <v>88</v>
      </c>
      <c r="D353" s="11" t="s">
        <v>89</v>
      </c>
      <c r="E353" s="11" t="s">
        <v>103</v>
      </c>
      <c r="F353" s="11" t="s">
        <v>42</v>
      </c>
      <c r="G353" s="11">
        <v>4</v>
      </c>
      <c r="H353" s="11">
        <v>6000</v>
      </c>
      <c r="I353" s="11">
        <v>0.1</v>
      </c>
      <c r="J353" s="11">
        <v>21600</v>
      </c>
      <c r="K353" s="11">
        <v>20057.93</v>
      </c>
      <c r="L353" s="11">
        <v>1542.07</v>
      </c>
      <c r="M353" s="11" t="s">
        <v>43</v>
      </c>
      <c r="N353" s="11" t="s">
        <v>44</v>
      </c>
      <c r="O353" s="11" t="s">
        <v>24</v>
      </c>
      <c r="P353" s="11" t="s">
        <v>25</v>
      </c>
      <c r="Q353" s="11" t="s">
        <v>26</v>
      </c>
    </row>
    <row r="354" spans="1:17" x14ac:dyDescent="0.25">
      <c r="A354" s="11" t="s">
        <v>783</v>
      </c>
      <c r="B354" s="12">
        <v>45704</v>
      </c>
      <c r="C354" s="11" t="s">
        <v>784</v>
      </c>
      <c r="D354" s="11" t="s">
        <v>785</v>
      </c>
      <c r="E354" s="11" t="s">
        <v>112</v>
      </c>
      <c r="F354" s="11" t="s">
        <v>94</v>
      </c>
      <c r="G354" s="11">
        <v>3</v>
      </c>
      <c r="H354" s="11">
        <v>800</v>
      </c>
      <c r="I354" s="11">
        <v>0.05</v>
      </c>
      <c r="J354" s="11">
        <v>2280</v>
      </c>
      <c r="K354" s="11">
        <v>1756.37</v>
      </c>
      <c r="L354" s="11">
        <v>523.63</v>
      </c>
      <c r="M354" s="11" t="s">
        <v>22</v>
      </c>
      <c r="N354" s="11" t="s">
        <v>23</v>
      </c>
      <c r="O354" s="11" t="s">
        <v>24</v>
      </c>
      <c r="P354" s="11" t="s">
        <v>55</v>
      </c>
      <c r="Q354" s="11" t="s">
        <v>60</v>
      </c>
    </row>
    <row r="355" spans="1:17" x14ac:dyDescent="0.25">
      <c r="A355" s="11" t="s">
        <v>786</v>
      </c>
      <c r="B355" s="12">
        <v>45673</v>
      </c>
      <c r="C355" s="11" t="s">
        <v>787</v>
      </c>
      <c r="D355" s="11" t="s">
        <v>788</v>
      </c>
      <c r="E355" s="11" t="s">
        <v>103</v>
      </c>
      <c r="F355" s="11" t="s">
        <v>42</v>
      </c>
      <c r="G355" s="11">
        <v>3</v>
      </c>
      <c r="H355" s="11">
        <v>6000</v>
      </c>
      <c r="I355" s="11">
        <v>0.05</v>
      </c>
      <c r="J355" s="11">
        <v>17100</v>
      </c>
      <c r="K355" s="11">
        <v>13572.11</v>
      </c>
      <c r="L355" s="11">
        <v>3527.89</v>
      </c>
      <c r="M355" s="11" t="s">
        <v>75</v>
      </c>
      <c r="N355" s="11" t="s">
        <v>76</v>
      </c>
      <c r="O355" s="11" t="s">
        <v>32</v>
      </c>
      <c r="P355" s="11" t="s">
        <v>25</v>
      </c>
      <c r="Q355" s="11" t="s">
        <v>26</v>
      </c>
    </row>
    <row r="356" spans="1:17" x14ac:dyDescent="0.25">
      <c r="A356" s="11" t="s">
        <v>789</v>
      </c>
      <c r="B356" s="12">
        <v>45729</v>
      </c>
      <c r="C356" s="11" t="s">
        <v>653</v>
      </c>
      <c r="D356" s="11" t="s">
        <v>654</v>
      </c>
      <c r="E356" s="11" t="s">
        <v>20</v>
      </c>
      <c r="F356" s="11" t="s">
        <v>21</v>
      </c>
      <c r="G356" s="11">
        <v>4</v>
      </c>
      <c r="H356" s="11">
        <v>4500</v>
      </c>
      <c r="I356" s="13">
        <v>0</v>
      </c>
      <c r="J356" s="11">
        <v>18000</v>
      </c>
      <c r="K356" s="11">
        <v>11955.31</v>
      </c>
      <c r="L356" s="11">
        <v>6044.69</v>
      </c>
      <c r="M356" s="11" t="s">
        <v>43</v>
      </c>
      <c r="N356" s="11" t="s">
        <v>44</v>
      </c>
      <c r="O356" s="11" t="s">
        <v>32</v>
      </c>
      <c r="P356" s="11" t="s">
        <v>95</v>
      </c>
      <c r="Q356" s="11" t="s">
        <v>26</v>
      </c>
    </row>
    <row r="357" spans="1:17" x14ac:dyDescent="0.25">
      <c r="A357" s="11" t="s">
        <v>790</v>
      </c>
      <c r="B357" s="12">
        <v>45956</v>
      </c>
      <c r="C357" s="11" t="s">
        <v>382</v>
      </c>
      <c r="D357" s="11" t="s">
        <v>383</v>
      </c>
      <c r="E357" s="11" t="s">
        <v>85</v>
      </c>
      <c r="F357" s="11" t="s">
        <v>86</v>
      </c>
      <c r="G357" s="11">
        <v>3</v>
      </c>
      <c r="H357" s="11">
        <v>450</v>
      </c>
      <c r="I357" s="13">
        <v>0</v>
      </c>
      <c r="J357" s="11">
        <v>1350</v>
      </c>
      <c r="K357" s="11">
        <v>1129.8599999999999</v>
      </c>
      <c r="L357" s="11">
        <v>220.14</v>
      </c>
      <c r="M357" s="11" t="s">
        <v>36</v>
      </c>
      <c r="N357" s="11" t="s">
        <v>23</v>
      </c>
      <c r="O357" s="11" t="s">
        <v>32</v>
      </c>
      <c r="P357" s="11" t="s">
        <v>55</v>
      </c>
      <c r="Q357" s="11" t="s">
        <v>26</v>
      </c>
    </row>
    <row r="358" spans="1:17" x14ac:dyDescent="0.25">
      <c r="A358" s="11" t="s">
        <v>791</v>
      </c>
      <c r="B358" s="12">
        <v>45827</v>
      </c>
      <c r="C358" s="11" t="s">
        <v>792</v>
      </c>
      <c r="D358" s="11" t="s">
        <v>793</v>
      </c>
      <c r="E358" s="11" t="s">
        <v>131</v>
      </c>
      <c r="F358" s="11" t="s">
        <v>21</v>
      </c>
      <c r="G358" s="11">
        <v>2</v>
      </c>
      <c r="H358" s="11">
        <v>1600</v>
      </c>
      <c r="I358" s="13">
        <v>0</v>
      </c>
      <c r="J358" s="11">
        <v>3200</v>
      </c>
      <c r="K358" s="11">
        <v>2773.52</v>
      </c>
      <c r="L358" s="11">
        <v>426.48</v>
      </c>
      <c r="M358" s="11" t="s">
        <v>43</v>
      </c>
      <c r="N358" s="11" t="s">
        <v>44</v>
      </c>
      <c r="O358" s="11" t="s">
        <v>45</v>
      </c>
      <c r="P358" s="11" t="s">
        <v>95</v>
      </c>
      <c r="Q358" s="11" t="s">
        <v>47</v>
      </c>
    </row>
    <row r="359" spans="1:17" x14ac:dyDescent="0.25">
      <c r="A359" s="11" t="s">
        <v>794</v>
      </c>
      <c r="B359" s="12">
        <v>45673</v>
      </c>
      <c r="C359" s="11" t="s">
        <v>447</v>
      </c>
      <c r="D359" s="11" t="s">
        <v>448</v>
      </c>
      <c r="E359" s="11" t="s">
        <v>30</v>
      </c>
      <c r="F359" s="11" t="s">
        <v>31</v>
      </c>
      <c r="G359" s="11">
        <v>4</v>
      </c>
      <c r="H359" s="11">
        <v>1200</v>
      </c>
      <c r="I359" s="11">
        <v>0.15</v>
      </c>
      <c r="J359" s="11">
        <v>4080</v>
      </c>
      <c r="K359" s="11">
        <v>3591.04</v>
      </c>
      <c r="L359" s="11">
        <v>488.96</v>
      </c>
      <c r="M359" s="11" t="s">
        <v>75</v>
      </c>
      <c r="N359" s="11" t="s">
        <v>76</v>
      </c>
      <c r="O359" s="11" t="s">
        <v>32</v>
      </c>
      <c r="P359" s="11" t="s">
        <v>95</v>
      </c>
      <c r="Q359" s="11" t="s">
        <v>26</v>
      </c>
    </row>
    <row r="360" spans="1:17" x14ac:dyDescent="0.25">
      <c r="A360" s="11" t="s">
        <v>795</v>
      </c>
      <c r="B360" s="12">
        <v>45734</v>
      </c>
      <c r="C360" s="11" t="s">
        <v>621</v>
      </c>
      <c r="D360" s="11" t="s">
        <v>622</v>
      </c>
      <c r="E360" s="11" t="s">
        <v>41</v>
      </c>
      <c r="F360" s="11" t="s">
        <v>42</v>
      </c>
      <c r="G360" s="11">
        <v>3</v>
      </c>
      <c r="H360" s="11">
        <v>7500</v>
      </c>
      <c r="I360" s="13">
        <v>0.15</v>
      </c>
      <c r="J360" s="11">
        <v>19125</v>
      </c>
      <c r="K360" s="11">
        <v>17829.240000000002</v>
      </c>
      <c r="L360" s="11">
        <v>1295.76</v>
      </c>
      <c r="M360" s="11" t="s">
        <v>99</v>
      </c>
      <c r="N360" s="11" t="s">
        <v>71</v>
      </c>
      <c r="O360" s="11" t="s">
        <v>45</v>
      </c>
      <c r="P360" s="11" t="s">
        <v>46</v>
      </c>
      <c r="Q360" s="11" t="s">
        <v>26</v>
      </c>
    </row>
    <row r="361" spans="1:17" x14ac:dyDescent="0.25">
      <c r="A361" s="11" t="s">
        <v>796</v>
      </c>
      <c r="B361" s="12">
        <v>45689</v>
      </c>
      <c r="C361" s="11" t="s">
        <v>118</v>
      </c>
      <c r="D361" s="11" t="s">
        <v>119</v>
      </c>
      <c r="E361" s="11" t="s">
        <v>30</v>
      </c>
      <c r="F361" s="11" t="s">
        <v>31</v>
      </c>
      <c r="G361" s="11">
        <v>5</v>
      </c>
      <c r="H361" s="11">
        <v>1200</v>
      </c>
      <c r="I361" s="11">
        <v>0.15</v>
      </c>
      <c r="J361" s="11">
        <v>5100</v>
      </c>
      <c r="K361" s="11">
        <v>4428.5600000000004</v>
      </c>
      <c r="L361" s="11">
        <v>671.44</v>
      </c>
      <c r="M361" s="11" t="s">
        <v>43</v>
      </c>
      <c r="N361" s="11" t="s">
        <v>44</v>
      </c>
      <c r="O361" s="11" t="s">
        <v>45</v>
      </c>
      <c r="P361" s="11" t="s">
        <v>95</v>
      </c>
      <c r="Q361" s="11" t="s">
        <v>60</v>
      </c>
    </row>
    <row r="362" spans="1:17" x14ac:dyDescent="0.25">
      <c r="A362" s="11" t="s">
        <v>797</v>
      </c>
      <c r="B362" s="12">
        <v>45853</v>
      </c>
      <c r="C362" s="11" t="s">
        <v>636</v>
      </c>
      <c r="D362" s="11" t="s">
        <v>637</v>
      </c>
      <c r="E362" s="11" t="s">
        <v>116</v>
      </c>
      <c r="F362" s="11" t="s">
        <v>94</v>
      </c>
      <c r="G362" s="11">
        <v>5</v>
      </c>
      <c r="H362" s="11">
        <v>1800</v>
      </c>
      <c r="I362" s="11">
        <v>0</v>
      </c>
      <c r="J362" s="11">
        <v>9000</v>
      </c>
      <c r="K362" s="11">
        <v>6977.15</v>
      </c>
      <c r="L362" s="11">
        <v>2022.85</v>
      </c>
      <c r="M362" s="11" t="s">
        <v>59</v>
      </c>
      <c r="N362" s="11" t="s">
        <v>59</v>
      </c>
      <c r="O362" s="11" t="s">
        <v>32</v>
      </c>
      <c r="P362" s="11" t="s">
        <v>46</v>
      </c>
      <c r="Q362" s="11" t="s">
        <v>47</v>
      </c>
    </row>
    <row r="363" spans="1:17" x14ac:dyDescent="0.25">
      <c r="A363" s="11" t="s">
        <v>798</v>
      </c>
      <c r="B363" s="12">
        <v>45750</v>
      </c>
      <c r="C363" s="11" t="s">
        <v>542</v>
      </c>
      <c r="D363" s="11" t="s">
        <v>543</v>
      </c>
      <c r="E363" s="11" t="s">
        <v>66</v>
      </c>
      <c r="F363" s="11" t="s">
        <v>31</v>
      </c>
      <c r="G363" s="11">
        <v>4</v>
      </c>
      <c r="H363" s="11">
        <v>3500</v>
      </c>
      <c r="I363" s="13">
        <v>0.1</v>
      </c>
      <c r="J363" s="11">
        <v>12600</v>
      </c>
      <c r="K363" s="11">
        <v>11022.71</v>
      </c>
      <c r="L363" s="11">
        <v>1577.29</v>
      </c>
      <c r="M363" s="11" t="s">
        <v>99</v>
      </c>
      <c r="N363" s="11" t="s">
        <v>71</v>
      </c>
      <c r="O363" s="11" t="s">
        <v>32</v>
      </c>
      <c r="P363" s="11" t="s">
        <v>46</v>
      </c>
      <c r="Q363" s="11" t="s">
        <v>26</v>
      </c>
    </row>
    <row r="364" spans="1:17" x14ac:dyDescent="0.25">
      <c r="A364" s="11" t="s">
        <v>799</v>
      </c>
      <c r="B364" s="12">
        <v>45957</v>
      </c>
      <c r="C364" s="11" t="s">
        <v>49</v>
      </c>
      <c r="D364" s="11" t="s">
        <v>50</v>
      </c>
      <c r="E364" s="11" t="s">
        <v>123</v>
      </c>
      <c r="F364" s="11" t="s">
        <v>21</v>
      </c>
      <c r="G364" s="11">
        <v>5</v>
      </c>
      <c r="H364" s="11">
        <v>2200</v>
      </c>
      <c r="I364" s="13">
        <v>0.1</v>
      </c>
      <c r="J364" s="11">
        <v>9900</v>
      </c>
      <c r="K364" s="11">
        <v>7553.85</v>
      </c>
      <c r="L364" s="11">
        <v>2346.15</v>
      </c>
      <c r="M364" s="11" t="s">
        <v>22</v>
      </c>
      <c r="N364" s="11" t="s">
        <v>23</v>
      </c>
      <c r="O364" s="11" t="s">
        <v>32</v>
      </c>
      <c r="P364" s="11" t="s">
        <v>95</v>
      </c>
      <c r="Q364" s="11" t="s">
        <v>26</v>
      </c>
    </row>
    <row r="365" spans="1:17" x14ac:dyDescent="0.25">
      <c r="A365" s="11" t="s">
        <v>800</v>
      </c>
      <c r="B365" s="12">
        <v>45856</v>
      </c>
      <c r="C365" s="11" t="s">
        <v>801</v>
      </c>
      <c r="D365" s="11" t="s">
        <v>802</v>
      </c>
      <c r="E365" s="11" t="s">
        <v>141</v>
      </c>
      <c r="F365" s="11" t="s">
        <v>21</v>
      </c>
      <c r="G365" s="11">
        <v>2</v>
      </c>
      <c r="H365" s="11">
        <v>22000</v>
      </c>
      <c r="I365" s="13">
        <v>0.2</v>
      </c>
      <c r="J365" s="11">
        <v>35200</v>
      </c>
      <c r="K365" s="11">
        <v>37092.93</v>
      </c>
      <c r="L365" s="11">
        <v>-1892.93</v>
      </c>
      <c r="M365" s="11" t="s">
        <v>59</v>
      </c>
      <c r="N365" s="11" t="s">
        <v>59</v>
      </c>
      <c r="O365" s="11" t="s">
        <v>32</v>
      </c>
      <c r="P365" s="11" t="s">
        <v>95</v>
      </c>
      <c r="Q365" s="11" t="s">
        <v>26</v>
      </c>
    </row>
    <row r="366" spans="1:17" x14ac:dyDescent="0.25">
      <c r="A366" s="11" t="s">
        <v>803</v>
      </c>
      <c r="B366" s="12">
        <v>45672</v>
      </c>
      <c r="C366" s="11" t="s">
        <v>545</v>
      </c>
      <c r="D366" s="11" t="s">
        <v>546</v>
      </c>
      <c r="E366" s="11" t="s">
        <v>66</v>
      </c>
      <c r="F366" s="11" t="s">
        <v>31</v>
      </c>
      <c r="G366" s="11">
        <v>3</v>
      </c>
      <c r="H366" s="11">
        <v>3500</v>
      </c>
      <c r="I366" s="13">
        <v>0.2</v>
      </c>
      <c r="J366" s="11">
        <v>8400</v>
      </c>
      <c r="K366" s="11">
        <v>8195.8799999999992</v>
      </c>
      <c r="L366" s="11">
        <v>204.12</v>
      </c>
      <c r="M366" s="11" t="s">
        <v>59</v>
      </c>
      <c r="N366" s="11" t="s">
        <v>59</v>
      </c>
      <c r="O366" s="11" t="s">
        <v>32</v>
      </c>
      <c r="P366" s="11" t="s">
        <v>25</v>
      </c>
      <c r="Q366" s="11" t="s">
        <v>26</v>
      </c>
    </row>
    <row r="367" spans="1:17" x14ac:dyDescent="0.25">
      <c r="A367" s="11" t="s">
        <v>804</v>
      </c>
      <c r="B367" s="12">
        <v>45747</v>
      </c>
      <c r="C367" s="11" t="s">
        <v>185</v>
      </c>
      <c r="D367" s="11" t="s">
        <v>186</v>
      </c>
      <c r="E367" s="11" t="s">
        <v>123</v>
      </c>
      <c r="F367" s="11" t="s">
        <v>21</v>
      </c>
      <c r="G367" s="11">
        <v>5</v>
      </c>
      <c r="H367" s="11">
        <v>2200</v>
      </c>
      <c r="I367" s="13">
        <v>0.1</v>
      </c>
      <c r="J367" s="11">
        <v>9900</v>
      </c>
      <c r="K367" s="11">
        <v>7378.35</v>
      </c>
      <c r="L367" s="11">
        <v>2521.65</v>
      </c>
      <c r="M367" s="11" t="s">
        <v>70</v>
      </c>
      <c r="N367" s="11" t="s">
        <v>71</v>
      </c>
      <c r="O367" s="11" t="s">
        <v>32</v>
      </c>
      <c r="P367" s="11" t="s">
        <v>25</v>
      </c>
      <c r="Q367" s="11" t="s">
        <v>26</v>
      </c>
    </row>
    <row r="368" spans="1:17" x14ac:dyDescent="0.25">
      <c r="A368" s="11" t="s">
        <v>805</v>
      </c>
      <c r="B368" s="12">
        <v>45658</v>
      </c>
      <c r="C368" s="11" t="s">
        <v>382</v>
      </c>
      <c r="D368" s="11" t="s">
        <v>383</v>
      </c>
      <c r="E368" s="11" t="s">
        <v>158</v>
      </c>
      <c r="F368" s="11" t="s">
        <v>21</v>
      </c>
      <c r="G368" s="11">
        <v>5</v>
      </c>
      <c r="H368" s="11">
        <v>55000</v>
      </c>
      <c r="I368" s="13">
        <v>0.15</v>
      </c>
      <c r="J368" s="11">
        <v>233750</v>
      </c>
      <c r="K368" s="11">
        <v>217594.02</v>
      </c>
      <c r="L368" s="11">
        <v>16155.98</v>
      </c>
      <c r="M368" s="11" t="s">
        <v>59</v>
      </c>
      <c r="N368" s="11" t="s">
        <v>59</v>
      </c>
      <c r="O368" s="11" t="s">
        <v>32</v>
      </c>
      <c r="P368" s="11" t="s">
        <v>46</v>
      </c>
      <c r="Q368" s="11" t="s">
        <v>60</v>
      </c>
    </row>
    <row r="369" spans="1:17" x14ac:dyDescent="0.25">
      <c r="A369" s="11" t="s">
        <v>806</v>
      </c>
      <c r="B369" s="12">
        <v>45669</v>
      </c>
      <c r="C369" s="11" t="s">
        <v>114</v>
      </c>
      <c r="D369" s="11" t="s">
        <v>115</v>
      </c>
      <c r="E369" s="11" t="s">
        <v>93</v>
      </c>
      <c r="F369" s="11" t="s">
        <v>94</v>
      </c>
      <c r="G369" s="11">
        <v>3</v>
      </c>
      <c r="H369" s="11">
        <v>2800</v>
      </c>
      <c r="I369" s="13">
        <v>0</v>
      </c>
      <c r="J369" s="11">
        <v>8400</v>
      </c>
      <c r="K369" s="11">
        <v>6821.47</v>
      </c>
      <c r="L369" s="11">
        <v>1578.53</v>
      </c>
      <c r="M369" s="11" t="s">
        <v>80</v>
      </c>
      <c r="N369" s="11" t="s">
        <v>81</v>
      </c>
      <c r="O369" s="11" t="s">
        <v>45</v>
      </c>
      <c r="P369" s="11" t="s">
        <v>55</v>
      </c>
      <c r="Q369" s="11" t="s">
        <v>47</v>
      </c>
    </row>
    <row r="370" spans="1:17" x14ac:dyDescent="0.25">
      <c r="A370" s="11" t="s">
        <v>807</v>
      </c>
      <c r="B370" s="12">
        <v>46018</v>
      </c>
      <c r="C370" s="11" t="s">
        <v>114</v>
      </c>
      <c r="D370" s="11" t="s">
        <v>115</v>
      </c>
      <c r="E370" s="11" t="s">
        <v>54</v>
      </c>
      <c r="F370" s="11" t="s">
        <v>31</v>
      </c>
      <c r="G370" s="11">
        <v>1</v>
      </c>
      <c r="H370" s="11">
        <v>2800</v>
      </c>
      <c r="I370" s="11">
        <v>0.1</v>
      </c>
      <c r="J370" s="11">
        <v>2520</v>
      </c>
      <c r="K370" s="11">
        <v>1885.06</v>
      </c>
      <c r="L370" s="11">
        <v>634.94000000000005</v>
      </c>
      <c r="M370" s="11" t="s">
        <v>75</v>
      </c>
      <c r="N370" s="11" t="s">
        <v>76</v>
      </c>
      <c r="O370" s="11" t="s">
        <v>24</v>
      </c>
      <c r="P370" s="11" t="s">
        <v>46</v>
      </c>
      <c r="Q370" s="11" t="s">
        <v>26</v>
      </c>
    </row>
    <row r="371" spans="1:17" x14ac:dyDescent="0.25">
      <c r="A371" s="11" t="s">
        <v>808</v>
      </c>
      <c r="B371" s="12">
        <v>45990</v>
      </c>
      <c r="C371" s="11" t="s">
        <v>600</v>
      </c>
      <c r="D371" s="11" t="s">
        <v>601</v>
      </c>
      <c r="E371" s="11" t="s">
        <v>93</v>
      </c>
      <c r="F371" s="11" t="s">
        <v>94</v>
      </c>
      <c r="G371" s="11">
        <v>4</v>
      </c>
      <c r="H371" s="11">
        <v>2800</v>
      </c>
      <c r="I371" s="11">
        <v>0.15</v>
      </c>
      <c r="J371" s="11">
        <v>9520</v>
      </c>
      <c r="K371" s="11">
        <v>9101.7000000000007</v>
      </c>
      <c r="L371" s="11">
        <v>418.3</v>
      </c>
      <c r="M371" s="11" t="s">
        <v>59</v>
      </c>
      <c r="N371" s="11" t="s">
        <v>59</v>
      </c>
      <c r="O371" s="11" t="s">
        <v>32</v>
      </c>
      <c r="P371" s="11" t="s">
        <v>25</v>
      </c>
      <c r="Q371" s="11" t="s">
        <v>26</v>
      </c>
    </row>
    <row r="372" spans="1:17" x14ac:dyDescent="0.25">
      <c r="A372" s="11" t="s">
        <v>809</v>
      </c>
      <c r="B372" s="12">
        <v>45851</v>
      </c>
      <c r="C372" s="11" t="s">
        <v>733</v>
      </c>
      <c r="D372" s="11" t="s">
        <v>734</v>
      </c>
      <c r="E372" s="11" t="s">
        <v>116</v>
      </c>
      <c r="F372" s="11" t="s">
        <v>94</v>
      </c>
      <c r="G372" s="11">
        <v>5</v>
      </c>
      <c r="H372" s="11">
        <v>1800</v>
      </c>
      <c r="I372" s="13">
        <v>0.05</v>
      </c>
      <c r="J372" s="11">
        <v>8550</v>
      </c>
      <c r="K372" s="11">
        <v>7275.19</v>
      </c>
      <c r="L372" s="11">
        <v>1274.81</v>
      </c>
      <c r="M372" s="11" t="s">
        <v>36</v>
      </c>
      <c r="N372" s="11" t="s">
        <v>23</v>
      </c>
      <c r="O372" s="11" t="s">
        <v>24</v>
      </c>
      <c r="P372" s="11" t="s">
        <v>95</v>
      </c>
      <c r="Q372" s="11" t="s">
        <v>60</v>
      </c>
    </row>
    <row r="373" spans="1:17" x14ac:dyDescent="0.25">
      <c r="A373" s="11" t="s">
        <v>810</v>
      </c>
      <c r="B373" s="12">
        <v>45948</v>
      </c>
      <c r="C373" s="11" t="s">
        <v>811</v>
      </c>
      <c r="D373" s="11" t="s">
        <v>812</v>
      </c>
      <c r="E373" s="11" t="s">
        <v>158</v>
      </c>
      <c r="F373" s="11" t="s">
        <v>21</v>
      </c>
      <c r="G373" s="11">
        <v>5</v>
      </c>
      <c r="H373" s="11">
        <v>55000</v>
      </c>
      <c r="I373" s="11">
        <v>0.15</v>
      </c>
      <c r="J373" s="11">
        <v>233750</v>
      </c>
      <c r="K373" s="11">
        <v>216851.08</v>
      </c>
      <c r="L373" s="11">
        <v>16898.919999999998</v>
      </c>
      <c r="M373" s="11" t="s">
        <v>99</v>
      </c>
      <c r="N373" s="11" t="s">
        <v>71</v>
      </c>
      <c r="O373" s="11" t="s">
        <v>45</v>
      </c>
      <c r="P373" s="11" t="s">
        <v>95</v>
      </c>
      <c r="Q373" s="11" t="s">
        <v>60</v>
      </c>
    </row>
    <row r="374" spans="1:17" x14ac:dyDescent="0.25">
      <c r="A374" s="11" t="s">
        <v>813</v>
      </c>
      <c r="B374" s="12">
        <v>45827</v>
      </c>
      <c r="C374" s="11" t="s">
        <v>362</v>
      </c>
      <c r="D374" s="11" t="s">
        <v>363</v>
      </c>
      <c r="E374" s="11" t="s">
        <v>20</v>
      </c>
      <c r="F374" s="11" t="s">
        <v>21</v>
      </c>
      <c r="G374" s="11">
        <v>4</v>
      </c>
      <c r="H374" s="11">
        <v>4500</v>
      </c>
      <c r="I374" s="11">
        <v>0.05</v>
      </c>
      <c r="J374" s="11">
        <v>17100</v>
      </c>
      <c r="K374" s="11">
        <v>13135.79</v>
      </c>
      <c r="L374" s="11">
        <v>3964.21</v>
      </c>
      <c r="M374" s="11" t="s">
        <v>43</v>
      </c>
      <c r="N374" s="11" t="s">
        <v>44</v>
      </c>
      <c r="O374" s="11" t="s">
        <v>32</v>
      </c>
      <c r="P374" s="11" t="s">
        <v>95</v>
      </c>
      <c r="Q374" s="11" t="s">
        <v>60</v>
      </c>
    </row>
    <row r="375" spans="1:17" x14ac:dyDescent="0.25">
      <c r="A375" s="11" t="s">
        <v>814</v>
      </c>
      <c r="B375" s="12">
        <v>45663</v>
      </c>
      <c r="C375" s="11" t="s">
        <v>721</v>
      </c>
      <c r="D375" s="11" t="s">
        <v>722</v>
      </c>
      <c r="E375" s="11" t="s">
        <v>62</v>
      </c>
      <c r="F375" s="11" t="s">
        <v>21</v>
      </c>
      <c r="G375" s="11">
        <v>3</v>
      </c>
      <c r="H375" s="11">
        <v>1800</v>
      </c>
      <c r="I375" s="13">
        <v>0.15</v>
      </c>
      <c r="J375" s="11">
        <v>4590</v>
      </c>
      <c r="K375" s="11">
        <v>3819.93</v>
      </c>
      <c r="L375" s="11">
        <v>770.07</v>
      </c>
      <c r="M375" s="11" t="s">
        <v>36</v>
      </c>
      <c r="N375" s="11" t="s">
        <v>23</v>
      </c>
      <c r="O375" s="11" t="s">
        <v>32</v>
      </c>
      <c r="P375" s="11" t="s">
        <v>46</v>
      </c>
      <c r="Q375" s="11" t="s">
        <v>26</v>
      </c>
    </row>
    <row r="376" spans="1:17" x14ac:dyDescent="0.25">
      <c r="A376" s="11" t="s">
        <v>815</v>
      </c>
      <c r="B376" s="12">
        <v>45855</v>
      </c>
      <c r="C376" s="11" t="s">
        <v>733</v>
      </c>
      <c r="D376" s="11" t="s">
        <v>734</v>
      </c>
      <c r="E376" s="11" t="s">
        <v>20</v>
      </c>
      <c r="F376" s="11" t="s">
        <v>21</v>
      </c>
      <c r="G376" s="11">
        <v>1</v>
      </c>
      <c r="H376" s="11">
        <v>4500</v>
      </c>
      <c r="I376" s="13">
        <v>0</v>
      </c>
      <c r="J376" s="11">
        <v>4500</v>
      </c>
      <c r="K376" s="11">
        <v>3359.34</v>
      </c>
      <c r="L376" s="11">
        <v>1140.6600000000001</v>
      </c>
      <c r="M376" s="11" t="s">
        <v>70</v>
      </c>
      <c r="N376" s="11" t="s">
        <v>71</v>
      </c>
      <c r="O376" s="11" t="s">
        <v>24</v>
      </c>
      <c r="P376" s="11" t="s">
        <v>37</v>
      </c>
      <c r="Q376" s="11" t="s">
        <v>26</v>
      </c>
    </row>
    <row r="377" spans="1:17" x14ac:dyDescent="0.25">
      <c r="A377" s="11" t="s">
        <v>816</v>
      </c>
      <c r="B377" s="12">
        <v>45850</v>
      </c>
      <c r="C377" s="11" t="s">
        <v>163</v>
      </c>
      <c r="D377" s="11" t="s">
        <v>164</v>
      </c>
      <c r="E377" s="11" t="s">
        <v>85</v>
      </c>
      <c r="F377" s="11" t="s">
        <v>86</v>
      </c>
      <c r="G377" s="11">
        <v>3</v>
      </c>
      <c r="H377" s="11">
        <v>450</v>
      </c>
      <c r="I377" s="11">
        <v>0.2</v>
      </c>
      <c r="J377" s="11">
        <v>1080</v>
      </c>
      <c r="K377" s="11">
        <v>1026.3800000000001</v>
      </c>
      <c r="L377" s="11">
        <v>53.62</v>
      </c>
      <c r="M377" s="11" t="s">
        <v>43</v>
      </c>
      <c r="N377" s="11" t="s">
        <v>44</v>
      </c>
      <c r="O377" s="11" t="s">
        <v>32</v>
      </c>
      <c r="P377" s="11" t="s">
        <v>95</v>
      </c>
      <c r="Q377" s="11" t="s">
        <v>26</v>
      </c>
    </row>
    <row r="378" spans="1:17" x14ac:dyDescent="0.25">
      <c r="A378" s="11" t="s">
        <v>817</v>
      </c>
      <c r="B378" s="12">
        <v>45808</v>
      </c>
      <c r="C378" s="11" t="s">
        <v>542</v>
      </c>
      <c r="D378" s="11" t="s">
        <v>543</v>
      </c>
      <c r="E378" s="11" t="s">
        <v>131</v>
      </c>
      <c r="F378" s="11" t="s">
        <v>21</v>
      </c>
      <c r="G378" s="11">
        <v>1</v>
      </c>
      <c r="H378" s="11">
        <v>1600</v>
      </c>
      <c r="I378" s="13">
        <v>0</v>
      </c>
      <c r="J378" s="11">
        <v>1600</v>
      </c>
      <c r="K378" s="11">
        <v>1136.0899999999999</v>
      </c>
      <c r="L378" s="11">
        <v>463.91</v>
      </c>
      <c r="M378" s="11" t="s">
        <v>99</v>
      </c>
      <c r="N378" s="11" t="s">
        <v>71</v>
      </c>
      <c r="O378" s="11" t="s">
        <v>24</v>
      </c>
      <c r="P378" s="11" t="s">
        <v>55</v>
      </c>
      <c r="Q378" s="11" t="s">
        <v>26</v>
      </c>
    </row>
    <row r="379" spans="1:17" x14ac:dyDescent="0.25">
      <c r="A379" s="11" t="s">
        <v>818</v>
      </c>
      <c r="B379" s="12">
        <v>45696</v>
      </c>
      <c r="C379" s="11" t="s">
        <v>819</v>
      </c>
      <c r="D379" s="11" t="s">
        <v>820</v>
      </c>
      <c r="E379" s="11" t="s">
        <v>93</v>
      </c>
      <c r="F379" s="11" t="s">
        <v>94</v>
      </c>
      <c r="G379" s="11">
        <v>4</v>
      </c>
      <c r="H379" s="11">
        <v>2800</v>
      </c>
      <c r="I379" s="11">
        <v>0.05</v>
      </c>
      <c r="J379" s="11">
        <v>10640</v>
      </c>
      <c r="K379" s="11">
        <v>8810.2199999999993</v>
      </c>
      <c r="L379" s="11">
        <v>1829.78</v>
      </c>
      <c r="M379" s="11" t="s">
        <v>43</v>
      </c>
      <c r="N379" s="11" t="s">
        <v>44</v>
      </c>
      <c r="O379" s="11" t="s">
        <v>45</v>
      </c>
      <c r="P379" s="11" t="s">
        <v>37</v>
      </c>
      <c r="Q379" s="11" t="s">
        <v>60</v>
      </c>
    </row>
    <row r="380" spans="1:17" x14ac:dyDescent="0.25">
      <c r="A380" s="11" t="s">
        <v>821</v>
      </c>
      <c r="B380" s="12">
        <v>45968</v>
      </c>
      <c r="C380" s="11" t="s">
        <v>88</v>
      </c>
      <c r="D380" s="11" t="s">
        <v>89</v>
      </c>
      <c r="E380" s="11" t="s">
        <v>158</v>
      </c>
      <c r="F380" s="11" t="s">
        <v>21</v>
      </c>
      <c r="G380" s="11">
        <v>4</v>
      </c>
      <c r="H380" s="11">
        <v>55000</v>
      </c>
      <c r="I380" s="11">
        <v>0.05</v>
      </c>
      <c r="J380" s="11">
        <v>209000</v>
      </c>
      <c r="K380" s="11">
        <v>145709.92000000001</v>
      </c>
      <c r="L380" s="11">
        <v>63290.080000000002</v>
      </c>
      <c r="M380" s="11" t="s">
        <v>75</v>
      </c>
      <c r="N380" s="11" t="s">
        <v>76</v>
      </c>
      <c r="O380" s="11" t="s">
        <v>32</v>
      </c>
      <c r="P380" s="11" t="s">
        <v>95</v>
      </c>
      <c r="Q380" s="11" t="s">
        <v>26</v>
      </c>
    </row>
    <row r="381" spans="1:17" x14ac:dyDescent="0.25">
      <c r="A381" s="11" t="s">
        <v>822</v>
      </c>
      <c r="B381" s="12">
        <v>45793</v>
      </c>
      <c r="C381" s="11" t="s">
        <v>536</v>
      </c>
      <c r="D381" s="11" t="s">
        <v>537</v>
      </c>
      <c r="E381" s="11" t="s">
        <v>30</v>
      </c>
      <c r="F381" s="11" t="s">
        <v>31</v>
      </c>
      <c r="G381" s="11">
        <v>5</v>
      </c>
      <c r="H381" s="11">
        <v>1200</v>
      </c>
      <c r="I381" s="13">
        <v>0.2</v>
      </c>
      <c r="J381" s="11">
        <v>4800</v>
      </c>
      <c r="K381" s="11">
        <v>4227.82</v>
      </c>
      <c r="L381" s="11">
        <v>572.17999999999995</v>
      </c>
      <c r="M381" s="11" t="s">
        <v>36</v>
      </c>
      <c r="N381" s="11" t="s">
        <v>23</v>
      </c>
      <c r="O381" s="11" t="s">
        <v>24</v>
      </c>
      <c r="P381" s="11" t="s">
        <v>37</v>
      </c>
      <c r="Q381" s="11" t="s">
        <v>47</v>
      </c>
    </row>
    <row r="382" spans="1:17" x14ac:dyDescent="0.25">
      <c r="A382" s="11" t="s">
        <v>823</v>
      </c>
      <c r="B382" s="12">
        <v>45842</v>
      </c>
      <c r="C382" s="11" t="s">
        <v>824</v>
      </c>
      <c r="D382" s="11" t="s">
        <v>825</v>
      </c>
      <c r="E382" s="11" t="s">
        <v>123</v>
      </c>
      <c r="F382" s="11" t="s">
        <v>21</v>
      </c>
      <c r="G382" s="11">
        <v>2</v>
      </c>
      <c r="H382" s="11">
        <v>2200</v>
      </c>
      <c r="I382" s="11">
        <v>0</v>
      </c>
      <c r="J382" s="11">
        <v>4400</v>
      </c>
      <c r="K382" s="11">
        <v>2948.68</v>
      </c>
      <c r="L382" s="11">
        <v>1451.32</v>
      </c>
      <c r="M382" s="11" t="s">
        <v>99</v>
      </c>
      <c r="N382" s="11" t="s">
        <v>71</v>
      </c>
      <c r="O382" s="11" t="s">
        <v>32</v>
      </c>
      <c r="P382" s="11" t="s">
        <v>25</v>
      </c>
      <c r="Q382" s="11" t="s">
        <v>26</v>
      </c>
    </row>
    <row r="383" spans="1:17" x14ac:dyDescent="0.25">
      <c r="A383" s="11" t="s">
        <v>826</v>
      </c>
      <c r="B383" s="12">
        <v>45763</v>
      </c>
      <c r="C383" s="11" t="s">
        <v>359</v>
      </c>
      <c r="D383" s="11" t="s">
        <v>360</v>
      </c>
      <c r="E383" s="11" t="s">
        <v>112</v>
      </c>
      <c r="F383" s="11" t="s">
        <v>94</v>
      </c>
      <c r="G383" s="11">
        <v>1</v>
      </c>
      <c r="H383" s="11">
        <v>800</v>
      </c>
      <c r="I383" s="13">
        <v>0</v>
      </c>
      <c r="J383" s="11">
        <v>800</v>
      </c>
      <c r="K383" s="11">
        <v>573.69000000000005</v>
      </c>
      <c r="L383" s="11">
        <v>226.31</v>
      </c>
      <c r="M383" s="11" t="s">
        <v>80</v>
      </c>
      <c r="N383" s="11" t="s">
        <v>81</v>
      </c>
      <c r="O383" s="11" t="s">
        <v>45</v>
      </c>
      <c r="P383" s="11" t="s">
        <v>37</v>
      </c>
      <c r="Q383" s="11" t="s">
        <v>26</v>
      </c>
    </row>
    <row r="384" spans="1:17" x14ac:dyDescent="0.25">
      <c r="A384" s="11" t="s">
        <v>827</v>
      </c>
      <c r="B384" s="12">
        <v>45908</v>
      </c>
      <c r="C384" s="11" t="s">
        <v>39</v>
      </c>
      <c r="D384" s="11" t="s">
        <v>40</v>
      </c>
      <c r="E384" s="11" t="s">
        <v>103</v>
      </c>
      <c r="F384" s="11" t="s">
        <v>42</v>
      </c>
      <c r="G384" s="11">
        <v>4</v>
      </c>
      <c r="H384" s="11">
        <v>6000</v>
      </c>
      <c r="I384" s="11">
        <v>0.15</v>
      </c>
      <c r="J384" s="11">
        <v>20400</v>
      </c>
      <c r="K384" s="11">
        <v>19143.099999999999</v>
      </c>
      <c r="L384" s="11">
        <v>1256.9000000000001</v>
      </c>
      <c r="M384" s="11" t="s">
        <v>36</v>
      </c>
      <c r="N384" s="11" t="s">
        <v>23</v>
      </c>
      <c r="O384" s="11" t="s">
        <v>45</v>
      </c>
      <c r="P384" s="11" t="s">
        <v>95</v>
      </c>
      <c r="Q384" s="11" t="s">
        <v>26</v>
      </c>
    </row>
    <row r="385" spans="1:17" x14ac:dyDescent="0.25">
      <c r="A385" s="11" t="s">
        <v>828</v>
      </c>
      <c r="B385" s="12">
        <v>45886</v>
      </c>
      <c r="C385" s="11" t="s">
        <v>762</v>
      </c>
      <c r="D385" s="11" t="s">
        <v>763</v>
      </c>
      <c r="E385" s="11" t="s">
        <v>85</v>
      </c>
      <c r="F385" s="11" t="s">
        <v>86</v>
      </c>
      <c r="G385" s="11">
        <v>3</v>
      </c>
      <c r="H385" s="11">
        <v>450</v>
      </c>
      <c r="I385" s="11">
        <v>0.05</v>
      </c>
      <c r="J385" s="11">
        <v>1282.5</v>
      </c>
      <c r="K385" s="11">
        <v>1014.04</v>
      </c>
      <c r="L385" s="11">
        <v>268.45999999999998</v>
      </c>
      <c r="M385" s="11" t="s">
        <v>99</v>
      </c>
      <c r="N385" s="11" t="s">
        <v>71</v>
      </c>
      <c r="O385" s="11" t="s">
        <v>24</v>
      </c>
      <c r="P385" s="11" t="s">
        <v>95</v>
      </c>
      <c r="Q385" s="11" t="s">
        <v>26</v>
      </c>
    </row>
    <row r="386" spans="1:17" x14ac:dyDescent="0.25">
      <c r="A386" s="11" t="s">
        <v>829</v>
      </c>
      <c r="B386" s="12">
        <v>45701</v>
      </c>
      <c r="C386" s="11" t="s">
        <v>417</v>
      </c>
      <c r="D386" s="11" t="s">
        <v>418</v>
      </c>
      <c r="E386" s="11" t="s">
        <v>141</v>
      </c>
      <c r="F386" s="11" t="s">
        <v>21</v>
      </c>
      <c r="G386" s="11">
        <v>2</v>
      </c>
      <c r="H386" s="11">
        <v>22000</v>
      </c>
      <c r="I386" s="11">
        <v>0</v>
      </c>
      <c r="J386" s="11">
        <v>44000</v>
      </c>
      <c r="K386" s="11">
        <v>34079.46</v>
      </c>
      <c r="L386" s="11">
        <v>9920.5400000000009</v>
      </c>
      <c r="M386" s="11" t="s">
        <v>59</v>
      </c>
      <c r="N386" s="11" t="s">
        <v>59</v>
      </c>
      <c r="O386" s="11" t="s">
        <v>45</v>
      </c>
      <c r="P386" s="11" t="s">
        <v>95</v>
      </c>
      <c r="Q386" s="11" t="s">
        <v>47</v>
      </c>
    </row>
    <row r="387" spans="1:17" x14ac:dyDescent="0.25">
      <c r="A387" s="11" t="s">
        <v>830</v>
      </c>
      <c r="B387" s="12">
        <v>45872</v>
      </c>
      <c r="C387" s="11" t="s">
        <v>434</v>
      </c>
      <c r="D387" s="11" t="s">
        <v>435</v>
      </c>
      <c r="E387" s="11" t="s">
        <v>141</v>
      </c>
      <c r="F387" s="11" t="s">
        <v>21</v>
      </c>
      <c r="G387" s="11">
        <v>4</v>
      </c>
      <c r="H387" s="11">
        <v>22000</v>
      </c>
      <c r="I387" s="11">
        <v>0.2</v>
      </c>
      <c r="J387" s="11">
        <v>70400</v>
      </c>
      <c r="K387" s="11">
        <v>75044.67</v>
      </c>
      <c r="L387" s="11">
        <v>-4644.67</v>
      </c>
      <c r="M387" s="11" t="s">
        <v>70</v>
      </c>
      <c r="N387" s="11" t="s">
        <v>71</v>
      </c>
      <c r="O387" s="11" t="s">
        <v>45</v>
      </c>
      <c r="P387" s="11" t="s">
        <v>46</v>
      </c>
      <c r="Q387" s="11" t="s">
        <v>26</v>
      </c>
    </row>
    <row r="388" spans="1:17" x14ac:dyDescent="0.25">
      <c r="A388" s="11" t="s">
        <v>831</v>
      </c>
      <c r="B388" s="12">
        <v>45950</v>
      </c>
      <c r="C388" s="11" t="s">
        <v>272</v>
      </c>
      <c r="D388" s="11" t="s">
        <v>273</v>
      </c>
      <c r="E388" s="11" t="s">
        <v>85</v>
      </c>
      <c r="F388" s="11" t="s">
        <v>86</v>
      </c>
      <c r="G388" s="11">
        <v>1</v>
      </c>
      <c r="H388" s="11">
        <v>450</v>
      </c>
      <c r="I388" s="11">
        <v>0.2</v>
      </c>
      <c r="J388" s="11">
        <v>360</v>
      </c>
      <c r="K388" s="11">
        <v>390.75</v>
      </c>
      <c r="L388" s="11">
        <v>-30.75</v>
      </c>
      <c r="M388" s="11" t="s">
        <v>80</v>
      </c>
      <c r="N388" s="11" t="s">
        <v>81</v>
      </c>
      <c r="O388" s="11" t="s">
        <v>45</v>
      </c>
      <c r="P388" s="11" t="s">
        <v>95</v>
      </c>
      <c r="Q388" s="11" t="s">
        <v>26</v>
      </c>
    </row>
    <row r="389" spans="1:17" x14ac:dyDescent="0.25">
      <c r="A389" s="11" t="s">
        <v>832</v>
      </c>
      <c r="B389" s="12">
        <v>45679</v>
      </c>
      <c r="C389" s="11" t="s">
        <v>833</v>
      </c>
      <c r="D389" s="11" t="s">
        <v>834</v>
      </c>
      <c r="E389" s="11" t="s">
        <v>112</v>
      </c>
      <c r="F389" s="11" t="s">
        <v>94</v>
      </c>
      <c r="G389" s="11">
        <v>2</v>
      </c>
      <c r="H389" s="11">
        <v>800</v>
      </c>
      <c r="I389" s="11">
        <v>0.05</v>
      </c>
      <c r="J389" s="11">
        <v>1520</v>
      </c>
      <c r="K389" s="11">
        <v>1403.69</v>
      </c>
      <c r="L389" s="11">
        <v>116.31</v>
      </c>
      <c r="M389" s="11" t="s">
        <v>75</v>
      </c>
      <c r="N389" s="11" t="s">
        <v>76</v>
      </c>
      <c r="O389" s="11" t="s">
        <v>45</v>
      </c>
      <c r="P389" s="11" t="s">
        <v>95</v>
      </c>
      <c r="Q389" s="11" t="s">
        <v>60</v>
      </c>
    </row>
    <row r="390" spans="1:17" x14ac:dyDescent="0.25">
      <c r="A390" s="11" t="s">
        <v>835</v>
      </c>
      <c r="B390" s="12">
        <v>45821</v>
      </c>
      <c r="C390" s="11" t="s">
        <v>742</v>
      </c>
      <c r="D390" s="11" t="s">
        <v>743</v>
      </c>
      <c r="E390" s="11" t="s">
        <v>107</v>
      </c>
      <c r="F390" s="11" t="s">
        <v>108</v>
      </c>
      <c r="G390" s="11">
        <v>5</v>
      </c>
      <c r="H390" s="11">
        <v>1400</v>
      </c>
      <c r="I390" s="11">
        <v>0.1</v>
      </c>
      <c r="J390" s="11">
        <v>6300</v>
      </c>
      <c r="K390" s="11">
        <v>5174.84</v>
      </c>
      <c r="L390" s="11">
        <v>1125.1600000000001</v>
      </c>
      <c r="M390" s="11" t="s">
        <v>43</v>
      </c>
      <c r="N390" s="11" t="s">
        <v>44</v>
      </c>
      <c r="O390" s="11" t="s">
        <v>32</v>
      </c>
      <c r="P390" s="11" t="s">
        <v>25</v>
      </c>
      <c r="Q390" s="11" t="s">
        <v>26</v>
      </c>
    </row>
    <row r="391" spans="1:17" x14ac:dyDescent="0.25">
      <c r="A391" s="11" t="s">
        <v>836</v>
      </c>
      <c r="B391" s="12">
        <v>45664</v>
      </c>
      <c r="C391" s="11" t="s">
        <v>837</v>
      </c>
      <c r="D391" s="11" t="s">
        <v>838</v>
      </c>
      <c r="E391" s="11" t="s">
        <v>41</v>
      </c>
      <c r="F391" s="11" t="s">
        <v>31</v>
      </c>
      <c r="G391" s="11">
        <v>5</v>
      </c>
      <c r="H391" s="11">
        <v>7500</v>
      </c>
      <c r="I391" s="13">
        <v>0.15</v>
      </c>
      <c r="J391" s="11">
        <v>31875</v>
      </c>
      <c r="K391" s="11">
        <v>27949.57</v>
      </c>
      <c r="L391" s="11">
        <v>3925.43</v>
      </c>
      <c r="M391" s="11" t="s">
        <v>75</v>
      </c>
      <c r="N391" s="11" t="s">
        <v>76</v>
      </c>
      <c r="O391" s="11" t="s">
        <v>45</v>
      </c>
      <c r="P391" s="11" t="s">
        <v>25</v>
      </c>
      <c r="Q391" s="11" t="s">
        <v>47</v>
      </c>
    </row>
    <row r="392" spans="1:17" x14ac:dyDescent="0.25">
      <c r="A392" s="11" t="s">
        <v>839</v>
      </c>
      <c r="B392" s="12">
        <v>45709</v>
      </c>
      <c r="C392" s="11" t="s">
        <v>336</v>
      </c>
      <c r="D392" s="11" t="s">
        <v>337</v>
      </c>
      <c r="E392" s="11" t="s">
        <v>20</v>
      </c>
      <c r="F392" s="11" t="s">
        <v>21</v>
      </c>
      <c r="G392" s="11">
        <v>1</v>
      </c>
      <c r="H392" s="11">
        <v>4500</v>
      </c>
      <c r="I392" s="11">
        <v>0.2</v>
      </c>
      <c r="J392" s="11">
        <v>3600</v>
      </c>
      <c r="K392" s="11">
        <v>3479.38</v>
      </c>
      <c r="L392" s="11">
        <v>120.62</v>
      </c>
      <c r="M392" s="11" t="s">
        <v>36</v>
      </c>
      <c r="N392" s="11" t="s">
        <v>23</v>
      </c>
      <c r="O392" s="11" t="s">
        <v>45</v>
      </c>
      <c r="P392" s="11" t="s">
        <v>37</v>
      </c>
      <c r="Q392" s="11" t="s">
        <v>26</v>
      </c>
    </row>
    <row r="393" spans="1:17" x14ac:dyDescent="0.25">
      <c r="A393" s="11" t="s">
        <v>840</v>
      </c>
      <c r="B393" s="12">
        <v>45969</v>
      </c>
      <c r="C393" s="11" t="s">
        <v>185</v>
      </c>
      <c r="D393" s="11" t="s">
        <v>186</v>
      </c>
      <c r="E393" s="11" t="s">
        <v>85</v>
      </c>
      <c r="F393" s="11" t="s">
        <v>86</v>
      </c>
      <c r="G393" s="11">
        <v>4</v>
      </c>
      <c r="H393" s="11">
        <v>450</v>
      </c>
      <c r="I393" s="11">
        <v>0.2</v>
      </c>
      <c r="J393" s="11">
        <v>1440</v>
      </c>
      <c r="K393" s="11">
        <v>1241.29</v>
      </c>
      <c r="L393" s="11">
        <v>198.71</v>
      </c>
      <c r="M393" s="11" t="s">
        <v>70</v>
      </c>
      <c r="N393" s="11" t="s">
        <v>71</v>
      </c>
      <c r="O393" s="11" t="s">
        <v>45</v>
      </c>
      <c r="P393" s="11" t="s">
        <v>95</v>
      </c>
      <c r="Q393" s="11" t="s">
        <v>47</v>
      </c>
    </row>
    <row r="394" spans="1:17" x14ac:dyDescent="0.25">
      <c r="A394" s="11" t="s">
        <v>841</v>
      </c>
      <c r="B394" s="12">
        <v>45827</v>
      </c>
      <c r="C394" s="11" t="s">
        <v>842</v>
      </c>
      <c r="D394" s="11" t="s">
        <v>843</v>
      </c>
      <c r="E394" s="11" t="s">
        <v>85</v>
      </c>
      <c r="F394" s="11" t="s">
        <v>86</v>
      </c>
      <c r="G394" s="11">
        <v>1</v>
      </c>
      <c r="H394" s="11">
        <v>450</v>
      </c>
      <c r="I394" s="11">
        <v>0.15</v>
      </c>
      <c r="J394" s="11">
        <v>382.5</v>
      </c>
      <c r="K394" s="11">
        <v>369.69</v>
      </c>
      <c r="L394" s="11">
        <v>12.81</v>
      </c>
      <c r="M394" s="11" t="s">
        <v>22</v>
      </c>
      <c r="N394" s="11" t="s">
        <v>23</v>
      </c>
      <c r="O394" s="11" t="s">
        <v>32</v>
      </c>
      <c r="P394" s="11" t="s">
        <v>46</v>
      </c>
      <c r="Q394" s="11" t="s">
        <v>26</v>
      </c>
    </row>
    <row r="395" spans="1:17" x14ac:dyDescent="0.25">
      <c r="A395" s="11" t="s">
        <v>844</v>
      </c>
      <c r="B395" s="12">
        <v>45801</v>
      </c>
      <c r="C395" s="11" t="s">
        <v>765</v>
      </c>
      <c r="D395" s="11" t="s">
        <v>766</v>
      </c>
      <c r="E395" s="11" t="s">
        <v>66</v>
      </c>
      <c r="F395" s="11" t="s">
        <v>31</v>
      </c>
      <c r="G395" s="11">
        <v>3</v>
      </c>
      <c r="H395" s="11">
        <v>3500</v>
      </c>
      <c r="I395" s="13">
        <v>0.1</v>
      </c>
      <c r="J395" s="11">
        <v>9450</v>
      </c>
      <c r="K395" s="11">
        <v>8506.2800000000007</v>
      </c>
      <c r="L395" s="11">
        <v>943.72</v>
      </c>
      <c r="M395" s="11" t="s">
        <v>70</v>
      </c>
      <c r="N395" s="11" t="s">
        <v>71</v>
      </c>
      <c r="O395" s="11" t="s">
        <v>32</v>
      </c>
      <c r="P395" s="11" t="s">
        <v>95</v>
      </c>
      <c r="Q395" s="11" t="s">
        <v>26</v>
      </c>
    </row>
    <row r="396" spans="1:17" x14ac:dyDescent="0.25">
      <c r="A396" s="11" t="s">
        <v>845</v>
      </c>
      <c r="B396" s="12">
        <v>45795</v>
      </c>
      <c r="C396" s="11" t="s">
        <v>303</v>
      </c>
      <c r="D396" s="11" t="s">
        <v>304</v>
      </c>
      <c r="E396" s="11" t="s">
        <v>103</v>
      </c>
      <c r="F396" s="11" t="s">
        <v>42</v>
      </c>
      <c r="G396" s="11">
        <v>4</v>
      </c>
      <c r="H396" s="11">
        <v>6000</v>
      </c>
      <c r="I396" s="13">
        <v>0.1</v>
      </c>
      <c r="J396" s="11">
        <v>21600</v>
      </c>
      <c r="K396" s="11">
        <v>19163.46</v>
      </c>
      <c r="L396" s="11">
        <v>2436.54</v>
      </c>
      <c r="M396" s="11" t="s">
        <v>75</v>
      </c>
      <c r="N396" s="11" t="s">
        <v>76</v>
      </c>
      <c r="O396" s="11" t="s">
        <v>32</v>
      </c>
      <c r="P396" s="11" t="s">
        <v>37</v>
      </c>
      <c r="Q396" s="11" t="s">
        <v>26</v>
      </c>
    </row>
    <row r="397" spans="1:17" x14ac:dyDescent="0.25">
      <c r="A397" s="11" t="s">
        <v>846</v>
      </c>
      <c r="B397" s="12">
        <v>45849</v>
      </c>
      <c r="C397" s="11" t="s">
        <v>847</v>
      </c>
      <c r="D397" s="11" t="s">
        <v>848</v>
      </c>
      <c r="E397" s="11" t="s">
        <v>30</v>
      </c>
      <c r="F397" s="11" t="s">
        <v>31</v>
      </c>
      <c r="G397" s="11">
        <v>4</v>
      </c>
      <c r="H397" s="11">
        <v>1200</v>
      </c>
      <c r="I397" s="13">
        <v>0.2</v>
      </c>
      <c r="J397" s="11">
        <v>3840</v>
      </c>
      <c r="K397" s="11">
        <v>3993.81</v>
      </c>
      <c r="L397" s="11">
        <v>-153.81</v>
      </c>
      <c r="M397" s="11" t="s">
        <v>99</v>
      </c>
      <c r="N397" s="11" t="s">
        <v>71</v>
      </c>
      <c r="O397" s="11" t="s">
        <v>32</v>
      </c>
      <c r="P397" s="11" t="s">
        <v>46</v>
      </c>
      <c r="Q397" s="11" t="s">
        <v>60</v>
      </c>
    </row>
    <row r="398" spans="1:17" x14ac:dyDescent="0.25">
      <c r="A398" s="11" t="s">
        <v>849</v>
      </c>
      <c r="B398" s="12">
        <v>45949</v>
      </c>
      <c r="C398" s="11" t="s">
        <v>600</v>
      </c>
      <c r="D398" s="11" t="s">
        <v>601</v>
      </c>
      <c r="E398" s="11" t="s">
        <v>85</v>
      </c>
      <c r="F398" s="11" t="s">
        <v>86</v>
      </c>
      <c r="G398" s="11">
        <v>2</v>
      </c>
      <c r="H398" s="11">
        <v>450</v>
      </c>
      <c r="I398" s="13">
        <v>0.2</v>
      </c>
      <c r="J398" s="11">
        <v>720</v>
      </c>
      <c r="K398" s="11">
        <v>624.9</v>
      </c>
      <c r="L398" s="11">
        <v>95.1</v>
      </c>
      <c r="M398" s="11" t="s">
        <v>99</v>
      </c>
      <c r="N398" s="11" t="s">
        <v>71</v>
      </c>
      <c r="O398" s="11" t="s">
        <v>45</v>
      </c>
      <c r="P398" s="11" t="s">
        <v>55</v>
      </c>
      <c r="Q398" s="11" t="s">
        <v>26</v>
      </c>
    </row>
    <row r="399" spans="1:17" x14ac:dyDescent="0.25">
      <c r="A399" s="11" t="s">
        <v>850</v>
      </c>
      <c r="B399" s="12">
        <v>45842</v>
      </c>
      <c r="C399" s="11" t="s">
        <v>395</v>
      </c>
      <c r="D399" s="11" t="s">
        <v>396</v>
      </c>
      <c r="E399" s="11" t="s">
        <v>141</v>
      </c>
      <c r="F399" s="11" t="s">
        <v>21</v>
      </c>
      <c r="G399" s="11">
        <v>4</v>
      </c>
      <c r="H399" s="11">
        <v>22000</v>
      </c>
      <c r="I399" s="11">
        <v>0</v>
      </c>
      <c r="J399" s="11">
        <v>88000</v>
      </c>
      <c r="K399" s="11">
        <v>64655.44</v>
      </c>
      <c r="L399" s="11">
        <v>23344.560000000001</v>
      </c>
      <c r="M399" s="11" t="s">
        <v>22</v>
      </c>
      <c r="N399" s="11" t="s">
        <v>23</v>
      </c>
      <c r="O399" s="11" t="s">
        <v>45</v>
      </c>
      <c r="P399" s="11" t="s">
        <v>25</v>
      </c>
      <c r="Q399" s="11" t="s">
        <v>26</v>
      </c>
    </row>
    <row r="400" spans="1:17" x14ac:dyDescent="0.25">
      <c r="A400" s="11" t="s">
        <v>851</v>
      </c>
      <c r="B400" s="12">
        <v>45848</v>
      </c>
      <c r="C400" s="11" t="s">
        <v>299</v>
      </c>
      <c r="D400" s="11" t="s">
        <v>300</v>
      </c>
      <c r="E400" s="11" t="s">
        <v>20</v>
      </c>
      <c r="F400" s="11" t="s">
        <v>21</v>
      </c>
      <c r="G400" s="11">
        <v>1</v>
      </c>
      <c r="H400" s="11">
        <v>4500</v>
      </c>
      <c r="I400" s="11">
        <v>0.05</v>
      </c>
      <c r="J400" s="11">
        <v>4275</v>
      </c>
      <c r="K400" s="11">
        <v>3386.72</v>
      </c>
      <c r="L400" s="11">
        <v>888.28</v>
      </c>
      <c r="M400" s="11" t="s">
        <v>70</v>
      </c>
      <c r="N400" s="11" t="s">
        <v>71</v>
      </c>
      <c r="O400" s="11" t="s">
        <v>32</v>
      </c>
      <c r="P400" s="11" t="s">
        <v>25</v>
      </c>
      <c r="Q400" s="11" t="s">
        <v>47</v>
      </c>
    </row>
    <row r="401" spans="1:17" x14ac:dyDescent="0.25">
      <c r="A401" s="11" t="s">
        <v>852</v>
      </c>
      <c r="B401" s="12">
        <v>45790</v>
      </c>
      <c r="C401" s="11" t="s">
        <v>462</v>
      </c>
      <c r="D401" s="11" t="s">
        <v>463</v>
      </c>
      <c r="E401" s="11" t="s">
        <v>54</v>
      </c>
      <c r="F401" s="11" t="s">
        <v>31</v>
      </c>
      <c r="G401" s="11">
        <v>3</v>
      </c>
      <c r="H401" s="11">
        <v>2800</v>
      </c>
      <c r="I401" s="13">
        <v>0.05</v>
      </c>
      <c r="J401" s="11">
        <v>7980</v>
      </c>
      <c r="K401" s="11">
        <v>5513.03</v>
      </c>
      <c r="L401" s="11">
        <v>2466.9699999999998</v>
      </c>
      <c r="M401" s="11" t="s">
        <v>43</v>
      </c>
      <c r="N401" s="11" t="s">
        <v>44</v>
      </c>
      <c r="O401" s="11" t="s">
        <v>24</v>
      </c>
      <c r="P401" s="11" t="s">
        <v>95</v>
      </c>
      <c r="Q401" s="11" t="s">
        <v>47</v>
      </c>
    </row>
    <row r="402" spans="1:17" x14ac:dyDescent="0.25">
      <c r="A402" s="11" t="s">
        <v>853</v>
      </c>
      <c r="B402" s="12">
        <v>46004</v>
      </c>
      <c r="C402" s="11" t="s">
        <v>633</v>
      </c>
      <c r="D402" s="11" t="s">
        <v>634</v>
      </c>
      <c r="E402" s="11" t="s">
        <v>112</v>
      </c>
      <c r="F402" s="11" t="s">
        <v>94</v>
      </c>
      <c r="G402" s="11">
        <v>2</v>
      </c>
      <c r="H402" s="11">
        <v>800</v>
      </c>
      <c r="I402" s="11">
        <v>0.05</v>
      </c>
      <c r="J402" s="11">
        <v>1520</v>
      </c>
      <c r="K402" s="11">
        <v>1279.78</v>
      </c>
      <c r="L402" s="11">
        <v>240.22</v>
      </c>
      <c r="M402" s="11" t="s">
        <v>22</v>
      </c>
      <c r="N402" s="11" t="s">
        <v>23</v>
      </c>
      <c r="O402" s="11" t="s">
        <v>32</v>
      </c>
      <c r="P402" s="11" t="s">
        <v>55</v>
      </c>
      <c r="Q402" s="11" t="s">
        <v>60</v>
      </c>
    </row>
    <row r="403" spans="1:17" x14ac:dyDescent="0.25">
      <c r="A403" s="11" t="s">
        <v>854</v>
      </c>
      <c r="B403" s="12">
        <v>45989</v>
      </c>
      <c r="C403" s="11" t="s">
        <v>97</v>
      </c>
      <c r="D403" s="11" t="s">
        <v>98</v>
      </c>
      <c r="E403" s="11" t="s">
        <v>158</v>
      </c>
      <c r="F403" s="11" t="s">
        <v>21</v>
      </c>
      <c r="G403" s="11">
        <v>4</v>
      </c>
      <c r="H403" s="11">
        <v>55000</v>
      </c>
      <c r="I403" s="13">
        <v>0.05</v>
      </c>
      <c r="J403" s="11">
        <v>209000</v>
      </c>
      <c r="K403" s="11">
        <v>183523.76</v>
      </c>
      <c r="L403" s="11">
        <v>25476.240000000002</v>
      </c>
      <c r="M403" s="11" t="s">
        <v>80</v>
      </c>
      <c r="N403" s="11" t="s">
        <v>81</v>
      </c>
      <c r="O403" s="11" t="s">
        <v>45</v>
      </c>
      <c r="P403" s="11" t="s">
        <v>46</v>
      </c>
      <c r="Q403" s="11" t="s">
        <v>47</v>
      </c>
    </row>
    <row r="404" spans="1:17" x14ac:dyDescent="0.25">
      <c r="A404" s="11" t="s">
        <v>855</v>
      </c>
      <c r="B404" s="12">
        <v>45850</v>
      </c>
      <c r="C404" s="11" t="s">
        <v>856</v>
      </c>
      <c r="D404" s="11" t="s">
        <v>857</v>
      </c>
      <c r="E404" s="11" t="s">
        <v>103</v>
      </c>
      <c r="F404" s="11" t="s">
        <v>42</v>
      </c>
      <c r="G404" s="11">
        <v>3</v>
      </c>
      <c r="H404" s="11">
        <v>6000</v>
      </c>
      <c r="I404" s="11">
        <v>0.15</v>
      </c>
      <c r="J404" s="11">
        <v>15300</v>
      </c>
      <c r="K404" s="11">
        <v>12743.27</v>
      </c>
      <c r="L404" s="11">
        <v>2556.73</v>
      </c>
      <c r="M404" s="11" t="s">
        <v>59</v>
      </c>
      <c r="N404" s="11" t="s">
        <v>59</v>
      </c>
      <c r="O404" s="11" t="s">
        <v>24</v>
      </c>
      <c r="P404" s="11" t="s">
        <v>46</v>
      </c>
      <c r="Q404" s="11" t="s">
        <v>60</v>
      </c>
    </row>
    <row r="405" spans="1:17" x14ac:dyDescent="0.25">
      <c r="A405" s="11" t="s">
        <v>858</v>
      </c>
      <c r="B405" s="12">
        <v>45661</v>
      </c>
      <c r="C405" s="11" t="s">
        <v>166</v>
      </c>
      <c r="D405" s="11" t="s">
        <v>167</v>
      </c>
      <c r="E405" s="11" t="s">
        <v>85</v>
      </c>
      <c r="F405" s="11" t="s">
        <v>86</v>
      </c>
      <c r="G405" s="11">
        <v>5</v>
      </c>
      <c r="H405" s="11">
        <v>450</v>
      </c>
      <c r="I405" s="11">
        <v>0</v>
      </c>
      <c r="J405" s="11">
        <v>2250</v>
      </c>
      <c r="K405" s="11">
        <v>1797.5</v>
      </c>
      <c r="L405" s="11">
        <v>452.5</v>
      </c>
      <c r="M405" s="11" t="s">
        <v>59</v>
      </c>
      <c r="N405" s="11" t="s">
        <v>59</v>
      </c>
      <c r="O405" s="11" t="s">
        <v>45</v>
      </c>
      <c r="P405" s="11" t="s">
        <v>46</v>
      </c>
      <c r="Q405" s="11" t="s">
        <v>26</v>
      </c>
    </row>
    <row r="406" spans="1:17" x14ac:dyDescent="0.25">
      <c r="A406" s="11" t="s">
        <v>859</v>
      </c>
      <c r="B406" s="12">
        <v>45830</v>
      </c>
      <c r="C406" s="11" t="s">
        <v>359</v>
      </c>
      <c r="D406" s="11" t="s">
        <v>360</v>
      </c>
      <c r="E406" s="11" t="s">
        <v>20</v>
      </c>
      <c r="F406" s="11" t="s">
        <v>21</v>
      </c>
      <c r="G406" s="11">
        <v>4</v>
      </c>
      <c r="H406" s="11">
        <v>4500</v>
      </c>
      <c r="I406" s="11">
        <v>0</v>
      </c>
      <c r="J406" s="11">
        <v>18000</v>
      </c>
      <c r="K406" s="11">
        <v>13046.07</v>
      </c>
      <c r="L406" s="11">
        <v>4953.93</v>
      </c>
      <c r="M406" s="11" t="s">
        <v>36</v>
      </c>
      <c r="N406" s="11" t="s">
        <v>23</v>
      </c>
      <c r="O406" s="11" t="s">
        <v>24</v>
      </c>
      <c r="P406" s="11" t="s">
        <v>46</v>
      </c>
      <c r="Q406" s="11" t="s">
        <v>60</v>
      </c>
    </row>
    <row r="407" spans="1:17" x14ac:dyDescent="0.25">
      <c r="A407" s="11" t="s">
        <v>860</v>
      </c>
      <c r="B407" s="12">
        <v>45922</v>
      </c>
      <c r="C407" s="11" t="s">
        <v>356</v>
      </c>
      <c r="D407" s="11" t="s">
        <v>357</v>
      </c>
      <c r="E407" s="11" t="s">
        <v>103</v>
      </c>
      <c r="F407" s="11" t="s">
        <v>42</v>
      </c>
      <c r="G407" s="11">
        <v>2</v>
      </c>
      <c r="H407" s="11">
        <v>6000</v>
      </c>
      <c r="I407" s="11">
        <v>0.05</v>
      </c>
      <c r="J407" s="11">
        <v>11400</v>
      </c>
      <c r="K407" s="11">
        <v>7956.7</v>
      </c>
      <c r="L407" s="11">
        <v>3443.3</v>
      </c>
      <c r="M407" s="11" t="s">
        <v>22</v>
      </c>
      <c r="N407" s="11" t="s">
        <v>23</v>
      </c>
      <c r="O407" s="11" t="s">
        <v>45</v>
      </c>
      <c r="P407" s="11" t="s">
        <v>37</v>
      </c>
      <c r="Q407" s="11" t="s">
        <v>60</v>
      </c>
    </row>
    <row r="408" spans="1:17" x14ac:dyDescent="0.25">
      <c r="A408" s="11" t="s">
        <v>861</v>
      </c>
      <c r="B408" s="12">
        <v>45993</v>
      </c>
      <c r="C408" s="11" t="s">
        <v>470</v>
      </c>
      <c r="D408" s="11" t="s">
        <v>471</v>
      </c>
      <c r="E408" s="11" t="s">
        <v>66</v>
      </c>
      <c r="F408" s="11" t="s">
        <v>31</v>
      </c>
      <c r="G408" s="11">
        <v>2</v>
      </c>
      <c r="H408" s="11">
        <v>3500</v>
      </c>
      <c r="I408" s="11">
        <v>0</v>
      </c>
      <c r="J408" s="11">
        <v>7000</v>
      </c>
      <c r="K408" s="11">
        <v>4967.68</v>
      </c>
      <c r="L408" s="11">
        <v>2032.32</v>
      </c>
      <c r="M408" s="11" t="s">
        <v>70</v>
      </c>
      <c r="N408" s="11" t="s">
        <v>71</v>
      </c>
      <c r="O408" s="11" t="s">
        <v>24</v>
      </c>
      <c r="P408" s="11" t="s">
        <v>37</v>
      </c>
      <c r="Q408" s="11" t="s">
        <v>26</v>
      </c>
    </row>
    <row r="409" spans="1:17" x14ac:dyDescent="0.25">
      <c r="A409" s="11" t="s">
        <v>862</v>
      </c>
      <c r="B409" s="12">
        <v>45755</v>
      </c>
      <c r="C409" s="11" t="s">
        <v>275</v>
      </c>
      <c r="D409" s="11" t="s">
        <v>276</v>
      </c>
      <c r="E409" s="11" t="s">
        <v>141</v>
      </c>
      <c r="F409" s="11" t="s">
        <v>21</v>
      </c>
      <c r="G409" s="11">
        <v>5</v>
      </c>
      <c r="H409" s="11">
        <v>22000</v>
      </c>
      <c r="I409" s="11">
        <v>0.2</v>
      </c>
      <c r="J409" s="11">
        <v>88000</v>
      </c>
      <c r="K409" s="11">
        <v>89548.24</v>
      </c>
      <c r="L409" s="11">
        <v>-1548.24</v>
      </c>
      <c r="M409" s="11" t="s">
        <v>59</v>
      </c>
      <c r="N409" s="11" t="s">
        <v>59</v>
      </c>
      <c r="O409" s="11" t="s">
        <v>24</v>
      </c>
      <c r="P409" s="11" t="s">
        <v>25</v>
      </c>
      <c r="Q409" s="11" t="s">
        <v>60</v>
      </c>
    </row>
    <row r="410" spans="1:17" x14ac:dyDescent="0.25">
      <c r="A410" s="11" t="s">
        <v>863</v>
      </c>
      <c r="B410" s="12">
        <v>45811</v>
      </c>
      <c r="C410" s="11" t="s">
        <v>91</v>
      </c>
      <c r="D410" s="11" t="s">
        <v>92</v>
      </c>
      <c r="E410" s="11" t="s">
        <v>123</v>
      </c>
      <c r="F410" s="11" t="s">
        <v>21</v>
      </c>
      <c r="G410" s="11">
        <v>3</v>
      </c>
      <c r="H410" s="11">
        <v>2200</v>
      </c>
      <c r="I410" s="11">
        <v>0.2</v>
      </c>
      <c r="J410" s="11">
        <v>5280</v>
      </c>
      <c r="K410" s="11">
        <v>5288.26</v>
      </c>
      <c r="L410" s="11">
        <v>-8.26</v>
      </c>
      <c r="M410" s="11" t="s">
        <v>80</v>
      </c>
      <c r="N410" s="11" t="s">
        <v>81</v>
      </c>
      <c r="O410" s="11" t="s">
        <v>45</v>
      </c>
      <c r="P410" s="11" t="s">
        <v>95</v>
      </c>
      <c r="Q410" s="11" t="s">
        <v>26</v>
      </c>
    </row>
    <row r="411" spans="1:17" x14ac:dyDescent="0.25">
      <c r="A411" s="11" t="s">
        <v>864</v>
      </c>
      <c r="B411" s="12">
        <v>45790</v>
      </c>
      <c r="C411" s="11" t="s">
        <v>545</v>
      </c>
      <c r="D411" s="11" t="s">
        <v>546</v>
      </c>
      <c r="E411" s="11" t="s">
        <v>20</v>
      </c>
      <c r="F411" s="11" t="s">
        <v>21</v>
      </c>
      <c r="G411" s="11">
        <v>4</v>
      </c>
      <c r="H411" s="11">
        <v>4500</v>
      </c>
      <c r="I411" s="11">
        <v>0.05</v>
      </c>
      <c r="J411" s="11">
        <v>17100</v>
      </c>
      <c r="K411" s="11">
        <v>14514.01</v>
      </c>
      <c r="L411" s="11">
        <v>2585.9899999999998</v>
      </c>
      <c r="M411" s="11" t="s">
        <v>80</v>
      </c>
      <c r="N411" s="11" t="s">
        <v>81</v>
      </c>
      <c r="O411" s="11" t="s">
        <v>45</v>
      </c>
      <c r="P411" s="11" t="s">
        <v>55</v>
      </c>
      <c r="Q411" s="11" t="s">
        <v>26</v>
      </c>
    </row>
    <row r="412" spans="1:17" x14ac:dyDescent="0.25">
      <c r="A412" s="11" t="s">
        <v>865</v>
      </c>
      <c r="B412" s="12">
        <v>45873</v>
      </c>
      <c r="C412" s="11" t="s">
        <v>650</v>
      </c>
      <c r="D412" s="11" t="s">
        <v>651</v>
      </c>
      <c r="E412" s="11" t="s">
        <v>54</v>
      </c>
      <c r="F412" s="11" t="s">
        <v>31</v>
      </c>
      <c r="G412" s="11">
        <v>2</v>
      </c>
      <c r="H412" s="11">
        <v>2800</v>
      </c>
      <c r="I412" s="11">
        <v>0.1</v>
      </c>
      <c r="J412" s="11">
        <v>5040</v>
      </c>
      <c r="K412" s="11">
        <v>3975.6</v>
      </c>
      <c r="L412" s="11">
        <v>1064.4000000000001</v>
      </c>
      <c r="M412" s="11" t="s">
        <v>59</v>
      </c>
      <c r="N412" s="11" t="s">
        <v>59</v>
      </c>
      <c r="O412" s="11" t="s">
        <v>24</v>
      </c>
      <c r="P412" s="11" t="s">
        <v>37</v>
      </c>
      <c r="Q412" s="11" t="s">
        <v>26</v>
      </c>
    </row>
    <row r="413" spans="1:17" x14ac:dyDescent="0.25">
      <c r="A413" s="11" t="s">
        <v>866</v>
      </c>
      <c r="B413" s="12">
        <v>45955</v>
      </c>
      <c r="C413" s="11" t="s">
        <v>306</v>
      </c>
      <c r="D413" s="11" t="s">
        <v>307</v>
      </c>
      <c r="E413" s="11" t="s">
        <v>123</v>
      </c>
      <c r="F413" s="11" t="s">
        <v>21</v>
      </c>
      <c r="G413" s="11">
        <v>1</v>
      </c>
      <c r="H413" s="11">
        <v>2200</v>
      </c>
      <c r="I413" s="11">
        <v>0.2</v>
      </c>
      <c r="J413" s="11">
        <v>1760</v>
      </c>
      <c r="K413" s="11">
        <v>1880.05</v>
      </c>
      <c r="L413" s="11">
        <v>-120.05</v>
      </c>
      <c r="M413" s="11" t="s">
        <v>43</v>
      </c>
      <c r="N413" s="11" t="s">
        <v>44</v>
      </c>
      <c r="O413" s="11" t="s">
        <v>32</v>
      </c>
      <c r="P413" s="11" t="s">
        <v>55</v>
      </c>
      <c r="Q413" s="11" t="s">
        <v>60</v>
      </c>
    </row>
    <row r="414" spans="1:17" x14ac:dyDescent="0.25">
      <c r="A414" s="11" t="s">
        <v>867</v>
      </c>
      <c r="B414" s="12">
        <v>45869</v>
      </c>
      <c r="C414" s="11" t="s">
        <v>336</v>
      </c>
      <c r="D414" s="11" t="s">
        <v>337</v>
      </c>
      <c r="E414" s="11" t="s">
        <v>85</v>
      </c>
      <c r="F414" s="11" t="s">
        <v>86</v>
      </c>
      <c r="G414" s="11">
        <v>5</v>
      </c>
      <c r="H414" s="11">
        <v>450</v>
      </c>
      <c r="I414" s="13">
        <v>0.1</v>
      </c>
      <c r="J414" s="11">
        <v>2025</v>
      </c>
      <c r="K414" s="11">
        <v>1904.57</v>
      </c>
      <c r="L414" s="11">
        <v>120.43</v>
      </c>
      <c r="M414" s="11" t="s">
        <v>99</v>
      </c>
      <c r="N414" s="11" t="s">
        <v>71</v>
      </c>
      <c r="O414" s="11" t="s">
        <v>32</v>
      </c>
      <c r="P414" s="11" t="s">
        <v>95</v>
      </c>
      <c r="Q414" s="11" t="s">
        <v>26</v>
      </c>
    </row>
    <row r="415" spans="1:17" x14ac:dyDescent="0.25">
      <c r="A415" s="11" t="s">
        <v>868</v>
      </c>
      <c r="B415" s="12">
        <v>45731</v>
      </c>
      <c r="C415" s="11" t="s">
        <v>869</v>
      </c>
      <c r="D415" s="11" t="s">
        <v>870</v>
      </c>
      <c r="E415" s="11" t="s">
        <v>30</v>
      </c>
      <c r="F415" s="11" t="s">
        <v>31</v>
      </c>
      <c r="G415" s="11">
        <v>5</v>
      </c>
      <c r="H415" s="11">
        <v>1200</v>
      </c>
      <c r="I415" s="13">
        <v>0.15</v>
      </c>
      <c r="J415" s="11">
        <v>5100</v>
      </c>
      <c r="K415" s="11">
        <v>4887.62</v>
      </c>
      <c r="L415" s="11">
        <v>212.38</v>
      </c>
      <c r="M415" s="11" t="s">
        <v>59</v>
      </c>
      <c r="N415" s="11" t="s">
        <v>59</v>
      </c>
      <c r="O415" s="11" t="s">
        <v>32</v>
      </c>
      <c r="P415" s="11" t="s">
        <v>37</v>
      </c>
      <c r="Q415" s="11" t="s">
        <v>26</v>
      </c>
    </row>
    <row r="416" spans="1:17" x14ac:dyDescent="0.25">
      <c r="A416" s="11" t="s">
        <v>871</v>
      </c>
      <c r="B416" s="12">
        <v>45660</v>
      </c>
      <c r="C416" s="11" t="s">
        <v>395</v>
      </c>
      <c r="D416" s="11" t="s">
        <v>396</v>
      </c>
      <c r="E416" s="11" t="s">
        <v>93</v>
      </c>
      <c r="F416" s="11" t="s">
        <v>94</v>
      </c>
      <c r="G416" s="11">
        <v>3</v>
      </c>
      <c r="H416" s="11">
        <v>2800</v>
      </c>
      <c r="I416" s="13">
        <v>0</v>
      </c>
      <c r="J416" s="11">
        <v>8400</v>
      </c>
      <c r="K416" s="11">
        <v>5864.53</v>
      </c>
      <c r="L416" s="11">
        <v>2535.4699999999998</v>
      </c>
      <c r="M416" s="11" t="s">
        <v>70</v>
      </c>
      <c r="N416" s="11" t="s">
        <v>71</v>
      </c>
      <c r="O416" s="11" t="s">
        <v>45</v>
      </c>
      <c r="P416" s="11" t="s">
        <v>25</v>
      </c>
      <c r="Q416" s="11" t="s">
        <v>26</v>
      </c>
    </row>
    <row r="417" spans="1:17" x14ac:dyDescent="0.25">
      <c r="A417" s="11" t="s">
        <v>872</v>
      </c>
      <c r="B417" s="12">
        <v>45972</v>
      </c>
      <c r="C417" s="11" t="s">
        <v>873</v>
      </c>
      <c r="D417" s="11" t="s">
        <v>874</v>
      </c>
      <c r="E417" s="11" t="s">
        <v>123</v>
      </c>
      <c r="F417" s="11" t="s">
        <v>21</v>
      </c>
      <c r="G417" s="11">
        <v>1</v>
      </c>
      <c r="H417" s="11">
        <v>2200</v>
      </c>
      <c r="I417" s="11">
        <v>0.05</v>
      </c>
      <c r="J417" s="11">
        <v>2090</v>
      </c>
      <c r="K417" s="11">
        <v>1647.28</v>
      </c>
      <c r="L417" s="11">
        <v>442.72</v>
      </c>
      <c r="M417" s="11" t="s">
        <v>75</v>
      </c>
      <c r="N417" s="11" t="s">
        <v>76</v>
      </c>
      <c r="O417" s="11" t="s">
        <v>45</v>
      </c>
      <c r="P417" s="11" t="s">
        <v>37</v>
      </c>
      <c r="Q417" s="11" t="s">
        <v>26</v>
      </c>
    </row>
    <row r="418" spans="1:17" x14ac:dyDescent="0.25">
      <c r="A418" s="11" t="s">
        <v>875</v>
      </c>
      <c r="B418" s="12">
        <v>45760</v>
      </c>
      <c r="C418" s="11" t="s">
        <v>214</v>
      </c>
      <c r="D418" s="11" t="s">
        <v>215</v>
      </c>
      <c r="E418" s="11" t="s">
        <v>158</v>
      </c>
      <c r="F418" s="11" t="s">
        <v>21</v>
      </c>
      <c r="G418" s="11">
        <v>1</v>
      </c>
      <c r="H418" s="11">
        <v>55000</v>
      </c>
      <c r="I418" s="11">
        <v>0.2</v>
      </c>
      <c r="J418" s="11">
        <v>44000</v>
      </c>
      <c r="K418" s="11">
        <v>35928.080000000002</v>
      </c>
      <c r="L418" s="11">
        <v>8071.92</v>
      </c>
      <c r="M418" s="11" t="s">
        <v>59</v>
      </c>
      <c r="N418" s="11" t="s">
        <v>59</v>
      </c>
      <c r="O418" s="11" t="s">
        <v>45</v>
      </c>
      <c r="P418" s="11" t="s">
        <v>25</v>
      </c>
      <c r="Q418" s="11" t="s">
        <v>26</v>
      </c>
    </row>
    <row r="419" spans="1:17" x14ac:dyDescent="0.25">
      <c r="A419" s="11" t="s">
        <v>876</v>
      </c>
      <c r="B419" s="12">
        <v>45773</v>
      </c>
      <c r="C419" s="11" t="s">
        <v>467</v>
      </c>
      <c r="D419" s="11" t="s">
        <v>468</v>
      </c>
      <c r="E419" s="11" t="s">
        <v>158</v>
      </c>
      <c r="F419" s="11" t="s">
        <v>21</v>
      </c>
      <c r="G419" s="11">
        <v>1</v>
      </c>
      <c r="H419" s="11">
        <v>55000</v>
      </c>
      <c r="I419" s="11">
        <v>0.05</v>
      </c>
      <c r="J419" s="11">
        <v>52250</v>
      </c>
      <c r="K419" s="11">
        <v>37380.97</v>
      </c>
      <c r="L419" s="11">
        <v>14869.03</v>
      </c>
      <c r="M419" s="11" t="s">
        <v>59</v>
      </c>
      <c r="N419" s="11" t="s">
        <v>59</v>
      </c>
      <c r="O419" s="11" t="s">
        <v>24</v>
      </c>
      <c r="P419" s="11" t="s">
        <v>25</v>
      </c>
      <c r="Q419" s="11" t="s">
        <v>47</v>
      </c>
    </row>
    <row r="420" spans="1:17" x14ac:dyDescent="0.25">
      <c r="A420" s="11" t="s">
        <v>877</v>
      </c>
      <c r="B420" s="12">
        <v>45681</v>
      </c>
      <c r="C420" s="11" t="s">
        <v>545</v>
      </c>
      <c r="D420" s="11" t="s">
        <v>546</v>
      </c>
      <c r="E420" s="11" t="s">
        <v>103</v>
      </c>
      <c r="F420" s="11" t="s">
        <v>42</v>
      </c>
      <c r="G420" s="11">
        <v>2</v>
      </c>
      <c r="H420" s="11">
        <v>6000</v>
      </c>
      <c r="I420" s="11">
        <v>0</v>
      </c>
      <c r="J420" s="11">
        <v>12000</v>
      </c>
      <c r="K420" s="11">
        <v>8602.68</v>
      </c>
      <c r="L420" s="11">
        <v>3397.32</v>
      </c>
      <c r="M420" s="11" t="s">
        <v>36</v>
      </c>
      <c r="N420" s="11" t="s">
        <v>23</v>
      </c>
      <c r="O420" s="11" t="s">
        <v>32</v>
      </c>
      <c r="P420" s="11" t="s">
        <v>25</v>
      </c>
      <c r="Q420" s="11" t="s">
        <v>47</v>
      </c>
    </row>
    <row r="421" spans="1:17" x14ac:dyDescent="0.25">
      <c r="A421" s="11" t="s">
        <v>878</v>
      </c>
      <c r="B421" s="12">
        <v>45833</v>
      </c>
      <c r="C421" s="11" t="s">
        <v>879</v>
      </c>
      <c r="D421" s="11" t="s">
        <v>880</v>
      </c>
      <c r="E421" s="11" t="s">
        <v>66</v>
      </c>
      <c r="F421" s="11" t="s">
        <v>31</v>
      </c>
      <c r="G421" s="11">
        <v>4</v>
      </c>
      <c r="H421" s="11">
        <v>3500</v>
      </c>
      <c r="I421" s="13">
        <v>0.05</v>
      </c>
      <c r="J421" s="11">
        <v>13300</v>
      </c>
      <c r="K421" s="11">
        <v>11515.37</v>
      </c>
      <c r="L421" s="11">
        <v>1784.63</v>
      </c>
      <c r="M421" s="11" t="s">
        <v>70</v>
      </c>
      <c r="N421" s="11" t="s">
        <v>71</v>
      </c>
      <c r="O421" s="11" t="s">
        <v>32</v>
      </c>
      <c r="P421" s="11" t="s">
        <v>37</v>
      </c>
      <c r="Q421" s="11" t="s">
        <v>26</v>
      </c>
    </row>
    <row r="422" spans="1:17" x14ac:dyDescent="0.25">
      <c r="A422" s="11" t="s">
        <v>881</v>
      </c>
      <c r="B422" s="12">
        <v>45766</v>
      </c>
      <c r="C422" s="11" t="s">
        <v>114</v>
      </c>
      <c r="D422" s="11" t="s">
        <v>115</v>
      </c>
      <c r="E422" s="11" t="s">
        <v>116</v>
      </c>
      <c r="F422" s="11" t="s">
        <v>94</v>
      </c>
      <c r="G422" s="11">
        <v>2</v>
      </c>
      <c r="H422" s="11">
        <v>1800</v>
      </c>
      <c r="I422" s="13">
        <v>0.05</v>
      </c>
      <c r="J422" s="11">
        <v>3420</v>
      </c>
      <c r="K422" s="11">
        <v>2757.84</v>
      </c>
      <c r="L422" s="11">
        <v>662.16</v>
      </c>
      <c r="M422" s="11" t="s">
        <v>99</v>
      </c>
      <c r="N422" s="11" t="s">
        <v>71</v>
      </c>
      <c r="O422" s="11" t="s">
        <v>24</v>
      </c>
      <c r="P422" s="11" t="s">
        <v>46</v>
      </c>
      <c r="Q422" s="11" t="s">
        <v>60</v>
      </c>
    </row>
    <row r="423" spans="1:17" x14ac:dyDescent="0.25">
      <c r="A423" s="11" t="s">
        <v>882</v>
      </c>
      <c r="B423" s="12">
        <v>45931</v>
      </c>
      <c r="C423" s="11" t="s">
        <v>299</v>
      </c>
      <c r="D423" s="11" t="s">
        <v>300</v>
      </c>
      <c r="E423" s="11" t="s">
        <v>141</v>
      </c>
      <c r="F423" s="11" t="s">
        <v>21</v>
      </c>
      <c r="G423" s="11">
        <v>4</v>
      </c>
      <c r="H423" s="11">
        <v>22000</v>
      </c>
      <c r="I423" s="11">
        <v>0.1</v>
      </c>
      <c r="J423" s="11">
        <v>79200</v>
      </c>
      <c r="K423" s="11">
        <v>77332.33</v>
      </c>
      <c r="L423" s="11">
        <v>1867.67</v>
      </c>
      <c r="M423" s="11" t="s">
        <v>99</v>
      </c>
      <c r="N423" s="11" t="s">
        <v>71</v>
      </c>
      <c r="O423" s="11" t="s">
        <v>45</v>
      </c>
      <c r="P423" s="11" t="s">
        <v>55</v>
      </c>
      <c r="Q423" s="11" t="s">
        <v>60</v>
      </c>
    </row>
    <row r="424" spans="1:17" x14ac:dyDescent="0.25">
      <c r="A424" s="11" t="s">
        <v>883</v>
      </c>
      <c r="B424" s="12">
        <v>45871</v>
      </c>
      <c r="C424" s="11" t="s">
        <v>178</v>
      </c>
      <c r="D424" s="11" t="s">
        <v>179</v>
      </c>
      <c r="E424" s="11" t="s">
        <v>158</v>
      </c>
      <c r="F424" s="11" t="s">
        <v>21</v>
      </c>
      <c r="G424" s="11">
        <v>1</v>
      </c>
      <c r="H424" s="11">
        <v>55000</v>
      </c>
      <c r="I424" s="11">
        <v>0</v>
      </c>
      <c r="J424" s="11">
        <v>55000</v>
      </c>
      <c r="K424" s="11">
        <v>37313.480000000003</v>
      </c>
      <c r="L424" s="11">
        <v>17686.52</v>
      </c>
      <c r="M424" s="11" t="s">
        <v>70</v>
      </c>
      <c r="N424" s="11" t="s">
        <v>71</v>
      </c>
      <c r="O424" s="11" t="s">
        <v>24</v>
      </c>
      <c r="P424" s="11" t="s">
        <v>37</v>
      </c>
      <c r="Q424" s="11" t="s">
        <v>60</v>
      </c>
    </row>
    <row r="425" spans="1:17" x14ac:dyDescent="0.25">
      <c r="A425" s="11" t="s">
        <v>884</v>
      </c>
      <c r="B425" s="12">
        <v>45812</v>
      </c>
      <c r="C425" s="11" t="s">
        <v>577</v>
      </c>
      <c r="D425" s="11" t="s">
        <v>578</v>
      </c>
      <c r="E425" s="11" t="s">
        <v>107</v>
      </c>
      <c r="F425" s="11" t="s">
        <v>108</v>
      </c>
      <c r="G425" s="11">
        <v>2</v>
      </c>
      <c r="H425" s="11">
        <v>1400</v>
      </c>
      <c r="I425" s="11">
        <v>0</v>
      </c>
      <c r="J425" s="11">
        <v>2800</v>
      </c>
      <c r="K425" s="11">
        <v>1885.03</v>
      </c>
      <c r="L425" s="11">
        <v>914.97</v>
      </c>
      <c r="M425" s="11" t="s">
        <v>75</v>
      </c>
      <c r="N425" s="11" t="s">
        <v>76</v>
      </c>
      <c r="O425" s="11" t="s">
        <v>32</v>
      </c>
      <c r="P425" s="11" t="s">
        <v>46</v>
      </c>
      <c r="Q425" s="11" t="s">
        <v>47</v>
      </c>
    </row>
    <row r="426" spans="1:17" x14ac:dyDescent="0.25">
      <c r="A426" s="11" t="s">
        <v>885</v>
      </c>
      <c r="B426" s="12">
        <v>45919</v>
      </c>
      <c r="C426" s="11" t="s">
        <v>462</v>
      </c>
      <c r="D426" s="11" t="s">
        <v>463</v>
      </c>
      <c r="E426" s="11" t="s">
        <v>107</v>
      </c>
      <c r="F426" s="11" t="s">
        <v>108</v>
      </c>
      <c r="G426" s="11">
        <v>4</v>
      </c>
      <c r="H426" s="11">
        <v>1400</v>
      </c>
      <c r="I426" s="13">
        <v>0</v>
      </c>
      <c r="J426" s="11">
        <v>5600</v>
      </c>
      <c r="K426" s="11">
        <v>3786.85</v>
      </c>
      <c r="L426" s="11">
        <v>1813.15</v>
      </c>
      <c r="M426" s="11" t="s">
        <v>43</v>
      </c>
      <c r="N426" s="11" t="s">
        <v>44</v>
      </c>
      <c r="O426" s="11" t="s">
        <v>32</v>
      </c>
      <c r="P426" s="11" t="s">
        <v>37</v>
      </c>
      <c r="Q426" s="11" t="s">
        <v>26</v>
      </c>
    </row>
    <row r="427" spans="1:17" x14ac:dyDescent="0.25">
      <c r="A427" s="11" t="s">
        <v>886</v>
      </c>
      <c r="B427" s="12">
        <v>45761</v>
      </c>
      <c r="C427" s="11" t="s">
        <v>725</v>
      </c>
      <c r="D427" s="11" t="s">
        <v>726</v>
      </c>
      <c r="E427" s="11" t="s">
        <v>112</v>
      </c>
      <c r="F427" s="11" t="s">
        <v>94</v>
      </c>
      <c r="G427" s="11">
        <v>3</v>
      </c>
      <c r="H427" s="11">
        <v>800</v>
      </c>
      <c r="I427" s="13">
        <v>0.2</v>
      </c>
      <c r="J427" s="11">
        <v>1920</v>
      </c>
      <c r="K427" s="11">
        <v>1786.19</v>
      </c>
      <c r="L427" s="11">
        <v>133.81</v>
      </c>
      <c r="M427" s="11" t="s">
        <v>59</v>
      </c>
      <c r="N427" s="11" t="s">
        <v>59</v>
      </c>
      <c r="O427" s="11" t="s">
        <v>32</v>
      </c>
      <c r="P427" s="11" t="s">
        <v>55</v>
      </c>
      <c r="Q427" s="11" t="s">
        <v>47</v>
      </c>
    </row>
    <row r="428" spans="1:17" x14ac:dyDescent="0.25">
      <c r="A428" s="11" t="s">
        <v>887</v>
      </c>
      <c r="B428" s="12">
        <v>45827</v>
      </c>
      <c r="C428" s="11" t="s">
        <v>888</v>
      </c>
      <c r="D428" s="11" t="s">
        <v>889</v>
      </c>
      <c r="E428" s="11" t="s">
        <v>123</v>
      </c>
      <c r="F428" s="11" t="s">
        <v>21</v>
      </c>
      <c r="G428" s="11">
        <v>2</v>
      </c>
      <c r="H428" s="11">
        <v>2200</v>
      </c>
      <c r="I428" s="13">
        <v>0.15</v>
      </c>
      <c r="J428" s="11">
        <v>3740</v>
      </c>
      <c r="K428" s="11">
        <v>2872.9</v>
      </c>
      <c r="L428" s="11">
        <v>867.1</v>
      </c>
      <c r="M428" s="11" t="s">
        <v>22</v>
      </c>
      <c r="N428" s="11" t="s">
        <v>23</v>
      </c>
      <c r="O428" s="11" t="s">
        <v>45</v>
      </c>
      <c r="P428" s="11" t="s">
        <v>55</v>
      </c>
      <c r="Q428" s="11" t="s">
        <v>47</v>
      </c>
    </row>
    <row r="429" spans="1:17" x14ac:dyDescent="0.25">
      <c r="A429" s="11" t="s">
        <v>890</v>
      </c>
      <c r="B429" s="12">
        <v>45919</v>
      </c>
      <c r="C429" s="11" t="s">
        <v>275</v>
      </c>
      <c r="D429" s="11" t="s">
        <v>276</v>
      </c>
      <c r="E429" s="11" t="s">
        <v>123</v>
      </c>
      <c r="F429" s="11" t="s">
        <v>21</v>
      </c>
      <c r="G429" s="11">
        <v>2</v>
      </c>
      <c r="H429" s="11">
        <v>2200</v>
      </c>
      <c r="I429" s="11">
        <v>0</v>
      </c>
      <c r="J429" s="11">
        <v>4400</v>
      </c>
      <c r="K429" s="11">
        <v>3592.26</v>
      </c>
      <c r="L429" s="11">
        <v>807.74</v>
      </c>
      <c r="M429" s="11" t="s">
        <v>43</v>
      </c>
      <c r="N429" s="11" t="s">
        <v>44</v>
      </c>
      <c r="O429" s="11" t="s">
        <v>32</v>
      </c>
      <c r="P429" s="11" t="s">
        <v>95</v>
      </c>
      <c r="Q429" s="11" t="s">
        <v>26</v>
      </c>
    </row>
    <row r="430" spans="1:17" x14ac:dyDescent="0.25">
      <c r="A430" s="11" t="s">
        <v>891</v>
      </c>
      <c r="B430" s="12">
        <v>45683</v>
      </c>
      <c r="C430" s="11" t="s">
        <v>312</v>
      </c>
      <c r="D430" s="11" t="s">
        <v>313</v>
      </c>
      <c r="E430" s="11" t="s">
        <v>103</v>
      </c>
      <c r="F430" s="11" t="s">
        <v>42</v>
      </c>
      <c r="G430" s="11">
        <v>3</v>
      </c>
      <c r="H430" s="11">
        <v>6000</v>
      </c>
      <c r="I430" s="13">
        <v>0.15</v>
      </c>
      <c r="J430" s="11">
        <v>15300</v>
      </c>
      <c r="K430" s="11">
        <v>12423.27</v>
      </c>
      <c r="L430" s="11">
        <v>2876.73</v>
      </c>
      <c r="M430" s="11" t="s">
        <v>43</v>
      </c>
      <c r="N430" s="11" t="s">
        <v>44</v>
      </c>
      <c r="O430" s="11" t="s">
        <v>24</v>
      </c>
      <c r="P430" s="11" t="s">
        <v>46</v>
      </c>
      <c r="Q430" s="11" t="s">
        <v>26</v>
      </c>
    </row>
    <row r="431" spans="1:17" x14ac:dyDescent="0.25">
      <c r="A431" s="11" t="s">
        <v>892</v>
      </c>
      <c r="B431" s="12">
        <v>45706</v>
      </c>
      <c r="C431" s="11" t="s">
        <v>593</v>
      </c>
      <c r="D431" s="11" t="s">
        <v>594</v>
      </c>
      <c r="E431" s="11" t="s">
        <v>66</v>
      </c>
      <c r="F431" s="11" t="s">
        <v>31</v>
      </c>
      <c r="G431" s="11">
        <v>4</v>
      </c>
      <c r="H431" s="11">
        <v>3500</v>
      </c>
      <c r="I431" s="11">
        <v>0</v>
      </c>
      <c r="J431" s="11">
        <v>14000</v>
      </c>
      <c r="K431" s="11">
        <v>11843.44</v>
      </c>
      <c r="L431" s="11">
        <v>2156.56</v>
      </c>
      <c r="M431" s="11" t="s">
        <v>99</v>
      </c>
      <c r="N431" s="11" t="s">
        <v>71</v>
      </c>
      <c r="O431" s="11" t="s">
        <v>32</v>
      </c>
      <c r="P431" s="11" t="s">
        <v>95</v>
      </c>
      <c r="Q431" s="11" t="s">
        <v>26</v>
      </c>
    </row>
    <row r="432" spans="1:17" x14ac:dyDescent="0.25">
      <c r="A432" s="11" t="s">
        <v>893</v>
      </c>
      <c r="B432" s="12">
        <v>45795</v>
      </c>
      <c r="C432" s="11" t="s">
        <v>650</v>
      </c>
      <c r="D432" s="11" t="s">
        <v>651</v>
      </c>
      <c r="E432" s="11" t="s">
        <v>54</v>
      </c>
      <c r="F432" s="11" t="s">
        <v>31</v>
      </c>
      <c r="G432" s="11">
        <v>4</v>
      </c>
      <c r="H432" s="11">
        <v>2800</v>
      </c>
      <c r="I432" s="13">
        <v>0.2</v>
      </c>
      <c r="J432" s="11">
        <v>8960</v>
      </c>
      <c r="K432" s="11">
        <v>9379.35</v>
      </c>
      <c r="L432" s="11">
        <v>-419.35</v>
      </c>
      <c r="M432" s="11" t="s">
        <v>43</v>
      </c>
      <c r="N432" s="11" t="s">
        <v>44</v>
      </c>
      <c r="O432" s="11" t="s">
        <v>32</v>
      </c>
      <c r="P432" s="11" t="s">
        <v>55</v>
      </c>
      <c r="Q432" s="11" t="s">
        <v>26</v>
      </c>
    </row>
    <row r="433" spans="1:17" x14ac:dyDescent="0.25">
      <c r="A433" s="11" t="s">
        <v>894</v>
      </c>
      <c r="B433" s="12">
        <v>45855</v>
      </c>
      <c r="C433" s="11" t="s">
        <v>502</v>
      </c>
      <c r="D433" s="11" t="s">
        <v>503</v>
      </c>
      <c r="E433" s="11" t="s">
        <v>85</v>
      </c>
      <c r="F433" s="11" t="s">
        <v>86</v>
      </c>
      <c r="G433" s="11">
        <v>4</v>
      </c>
      <c r="H433" s="11">
        <v>450</v>
      </c>
      <c r="I433" s="13">
        <v>0.1</v>
      </c>
      <c r="J433" s="11">
        <v>1620</v>
      </c>
      <c r="K433" s="11">
        <v>1344.6</v>
      </c>
      <c r="L433" s="11">
        <v>275.39999999999998</v>
      </c>
      <c r="M433" s="11" t="s">
        <v>70</v>
      </c>
      <c r="N433" s="11" t="s">
        <v>71</v>
      </c>
      <c r="O433" s="11" t="s">
        <v>45</v>
      </c>
      <c r="P433" s="11" t="s">
        <v>55</v>
      </c>
      <c r="Q433" s="11" t="s">
        <v>26</v>
      </c>
    </row>
    <row r="434" spans="1:17" x14ac:dyDescent="0.25">
      <c r="A434" s="11" t="s">
        <v>895</v>
      </c>
      <c r="B434" s="12">
        <v>45871</v>
      </c>
      <c r="C434" s="11" t="s">
        <v>437</v>
      </c>
      <c r="D434" s="11" t="s">
        <v>438</v>
      </c>
      <c r="E434" s="11" t="s">
        <v>141</v>
      </c>
      <c r="F434" s="11" t="s">
        <v>21</v>
      </c>
      <c r="G434" s="11">
        <v>2</v>
      </c>
      <c r="H434" s="11">
        <v>22000</v>
      </c>
      <c r="I434" s="11">
        <v>0</v>
      </c>
      <c r="J434" s="11">
        <v>44000</v>
      </c>
      <c r="K434" s="11">
        <v>34357.71</v>
      </c>
      <c r="L434" s="11">
        <v>9642.2900000000009</v>
      </c>
      <c r="M434" s="11" t="s">
        <v>70</v>
      </c>
      <c r="N434" s="11" t="s">
        <v>71</v>
      </c>
      <c r="O434" s="11" t="s">
        <v>32</v>
      </c>
      <c r="P434" s="11" t="s">
        <v>95</v>
      </c>
      <c r="Q434" s="11" t="s">
        <v>47</v>
      </c>
    </row>
    <row r="435" spans="1:17" x14ac:dyDescent="0.25">
      <c r="A435" s="11" t="s">
        <v>896</v>
      </c>
      <c r="B435" s="12">
        <v>45672</v>
      </c>
      <c r="C435" s="11" t="s">
        <v>897</v>
      </c>
      <c r="D435" s="11" t="s">
        <v>898</v>
      </c>
      <c r="E435" s="11" t="s">
        <v>85</v>
      </c>
      <c r="F435" s="11" t="s">
        <v>86</v>
      </c>
      <c r="G435" s="11">
        <v>3</v>
      </c>
      <c r="H435" s="11">
        <v>450</v>
      </c>
      <c r="I435" s="13">
        <v>0.2</v>
      </c>
      <c r="J435" s="11">
        <v>1080</v>
      </c>
      <c r="K435" s="11">
        <v>1163.28</v>
      </c>
      <c r="L435" s="11">
        <v>-83.28</v>
      </c>
      <c r="M435" s="11" t="s">
        <v>80</v>
      </c>
      <c r="N435" s="11" t="s">
        <v>81</v>
      </c>
      <c r="O435" s="11" t="s">
        <v>24</v>
      </c>
      <c r="P435" s="11" t="s">
        <v>37</v>
      </c>
      <c r="Q435" s="11" t="s">
        <v>26</v>
      </c>
    </row>
    <row r="436" spans="1:17" x14ac:dyDescent="0.25">
      <c r="A436" s="11" t="s">
        <v>899</v>
      </c>
      <c r="B436" s="12">
        <v>45993</v>
      </c>
      <c r="C436" s="11" t="s">
        <v>653</v>
      </c>
      <c r="D436" s="11" t="s">
        <v>654</v>
      </c>
      <c r="E436" s="11" t="s">
        <v>141</v>
      </c>
      <c r="F436" s="11" t="s">
        <v>21</v>
      </c>
      <c r="G436" s="11">
        <v>1</v>
      </c>
      <c r="H436" s="11">
        <v>22000</v>
      </c>
      <c r="I436" s="11">
        <v>0.1</v>
      </c>
      <c r="J436" s="11">
        <v>19800</v>
      </c>
      <c r="K436" s="11">
        <v>17865.11</v>
      </c>
      <c r="L436" s="11">
        <v>1934.89</v>
      </c>
      <c r="M436" s="11" t="s">
        <v>59</v>
      </c>
      <c r="N436" s="11" t="s">
        <v>59</v>
      </c>
      <c r="O436" s="11" t="s">
        <v>32</v>
      </c>
      <c r="P436" s="11" t="s">
        <v>25</v>
      </c>
      <c r="Q436" s="11" t="s">
        <v>60</v>
      </c>
    </row>
    <row r="437" spans="1:17" x14ac:dyDescent="0.25">
      <c r="A437" s="11" t="s">
        <v>900</v>
      </c>
      <c r="B437" s="12">
        <v>45925</v>
      </c>
      <c r="C437" s="11" t="s">
        <v>169</v>
      </c>
      <c r="D437" s="11" t="s">
        <v>170</v>
      </c>
      <c r="E437" s="11" t="s">
        <v>116</v>
      </c>
      <c r="F437" s="11" t="s">
        <v>94</v>
      </c>
      <c r="G437" s="11">
        <v>3</v>
      </c>
      <c r="H437" s="11">
        <v>1800</v>
      </c>
      <c r="I437" s="13">
        <v>0.2</v>
      </c>
      <c r="J437" s="11">
        <v>4320</v>
      </c>
      <c r="K437" s="11">
        <v>4331.8500000000004</v>
      </c>
      <c r="L437" s="11">
        <v>-11.85</v>
      </c>
      <c r="M437" s="11" t="s">
        <v>43</v>
      </c>
      <c r="N437" s="11" t="s">
        <v>44</v>
      </c>
      <c r="O437" s="11" t="s">
        <v>32</v>
      </c>
      <c r="P437" s="11" t="s">
        <v>37</v>
      </c>
      <c r="Q437" s="11" t="s">
        <v>26</v>
      </c>
    </row>
    <row r="438" spans="1:17" x14ac:dyDescent="0.25">
      <c r="A438" s="11" t="s">
        <v>901</v>
      </c>
      <c r="B438" s="12">
        <v>45971</v>
      </c>
      <c r="C438" s="11" t="s">
        <v>593</v>
      </c>
      <c r="D438" s="11" t="s">
        <v>594</v>
      </c>
      <c r="E438" s="11" t="s">
        <v>85</v>
      </c>
      <c r="F438" s="11" t="s">
        <v>86</v>
      </c>
      <c r="G438" s="11">
        <v>2</v>
      </c>
      <c r="H438" s="11">
        <v>450</v>
      </c>
      <c r="I438" s="13">
        <v>0.2</v>
      </c>
      <c r="J438" s="11">
        <v>720</v>
      </c>
      <c r="K438" s="11">
        <v>718.18</v>
      </c>
      <c r="L438" s="11">
        <v>1.82</v>
      </c>
      <c r="M438" s="11" t="s">
        <v>99</v>
      </c>
      <c r="N438" s="11" t="s">
        <v>71</v>
      </c>
      <c r="O438" s="11" t="s">
        <v>45</v>
      </c>
      <c r="P438" s="11" t="s">
        <v>25</v>
      </c>
      <c r="Q438" s="11" t="s">
        <v>26</v>
      </c>
    </row>
    <row r="439" spans="1:17" x14ac:dyDescent="0.25">
      <c r="A439" s="11" t="s">
        <v>902</v>
      </c>
      <c r="B439" s="12">
        <v>45909</v>
      </c>
      <c r="C439" s="11" t="s">
        <v>494</v>
      </c>
      <c r="D439" s="11" t="s">
        <v>495</v>
      </c>
      <c r="E439" s="11" t="s">
        <v>123</v>
      </c>
      <c r="F439" s="11" t="s">
        <v>21</v>
      </c>
      <c r="G439" s="11">
        <v>2</v>
      </c>
      <c r="H439" s="11">
        <v>2200</v>
      </c>
      <c r="I439" s="11">
        <v>0</v>
      </c>
      <c r="J439" s="11">
        <v>4400</v>
      </c>
      <c r="K439" s="11">
        <v>3194.87</v>
      </c>
      <c r="L439" s="11">
        <v>1205.1300000000001</v>
      </c>
      <c r="M439" s="11" t="s">
        <v>59</v>
      </c>
      <c r="N439" s="11" t="s">
        <v>59</v>
      </c>
      <c r="O439" s="11" t="s">
        <v>24</v>
      </c>
      <c r="P439" s="11" t="s">
        <v>55</v>
      </c>
      <c r="Q439" s="11" t="s">
        <v>47</v>
      </c>
    </row>
    <row r="440" spans="1:17" x14ac:dyDescent="0.25">
      <c r="A440" s="11" t="s">
        <v>903</v>
      </c>
      <c r="B440" s="12">
        <v>45864</v>
      </c>
      <c r="C440" s="11" t="s">
        <v>833</v>
      </c>
      <c r="D440" s="11" t="s">
        <v>834</v>
      </c>
      <c r="E440" s="11" t="s">
        <v>116</v>
      </c>
      <c r="F440" s="11" t="s">
        <v>94</v>
      </c>
      <c r="G440" s="11">
        <v>5</v>
      </c>
      <c r="H440" s="11">
        <v>1800</v>
      </c>
      <c r="I440" s="11">
        <v>0.15</v>
      </c>
      <c r="J440" s="11">
        <v>7650</v>
      </c>
      <c r="K440" s="11">
        <v>6800.33</v>
      </c>
      <c r="L440" s="11">
        <v>849.67</v>
      </c>
      <c r="M440" s="11" t="s">
        <v>22</v>
      </c>
      <c r="N440" s="11" t="s">
        <v>23</v>
      </c>
      <c r="O440" s="11" t="s">
        <v>32</v>
      </c>
      <c r="P440" s="11" t="s">
        <v>37</v>
      </c>
      <c r="Q440" s="11" t="s">
        <v>26</v>
      </c>
    </row>
    <row r="441" spans="1:17" x14ac:dyDescent="0.25">
      <c r="A441" s="11" t="s">
        <v>904</v>
      </c>
      <c r="B441" s="12">
        <v>45718</v>
      </c>
      <c r="C441" s="11" t="s">
        <v>333</v>
      </c>
      <c r="D441" s="11" t="s">
        <v>334</v>
      </c>
      <c r="E441" s="11" t="s">
        <v>123</v>
      </c>
      <c r="F441" s="11" t="s">
        <v>21</v>
      </c>
      <c r="G441" s="11">
        <v>4</v>
      </c>
      <c r="H441" s="11">
        <v>2200</v>
      </c>
      <c r="I441" s="13">
        <v>0.1</v>
      </c>
      <c r="J441" s="11">
        <v>7920</v>
      </c>
      <c r="K441" s="11">
        <v>7042.43</v>
      </c>
      <c r="L441" s="11">
        <v>877.57</v>
      </c>
      <c r="M441" s="11" t="s">
        <v>70</v>
      </c>
      <c r="N441" s="11" t="s">
        <v>71</v>
      </c>
      <c r="O441" s="11" t="s">
        <v>24</v>
      </c>
      <c r="P441" s="11" t="s">
        <v>37</v>
      </c>
      <c r="Q441" s="11" t="s">
        <v>26</v>
      </c>
    </row>
    <row r="442" spans="1:17" x14ac:dyDescent="0.25">
      <c r="A442" s="11" t="s">
        <v>905</v>
      </c>
      <c r="B442" s="12">
        <v>45658</v>
      </c>
      <c r="C442" s="11" t="s">
        <v>78</v>
      </c>
      <c r="D442" s="11" t="s">
        <v>79</v>
      </c>
      <c r="E442" s="11" t="s">
        <v>141</v>
      </c>
      <c r="F442" s="11" t="s">
        <v>21</v>
      </c>
      <c r="G442" s="11">
        <v>5</v>
      </c>
      <c r="H442" s="11">
        <v>22000</v>
      </c>
      <c r="I442" s="11">
        <v>0.2</v>
      </c>
      <c r="J442" s="11">
        <v>88000</v>
      </c>
      <c r="K442" s="11">
        <v>86786.34</v>
      </c>
      <c r="L442" s="11">
        <v>1213.6600000000001</v>
      </c>
      <c r="M442" s="11" t="s">
        <v>43</v>
      </c>
      <c r="N442" s="11" t="s">
        <v>44</v>
      </c>
      <c r="O442" s="11" t="s">
        <v>45</v>
      </c>
      <c r="P442" s="11" t="s">
        <v>46</v>
      </c>
      <c r="Q442" s="11" t="s">
        <v>47</v>
      </c>
    </row>
    <row r="443" spans="1:17" x14ac:dyDescent="0.25">
      <c r="A443" s="11" t="s">
        <v>906</v>
      </c>
      <c r="B443" s="12">
        <v>45844</v>
      </c>
      <c r="C443" s="11" t="s">
        <v>476</v>
      </c>
      <c r="D443" s="11" t="s">
        <v>477</v>
      </c>
      <c r="E443" s="11" t="s">
        <v>112</v>
      </c>
      <c r="F443" s="11" t="s">
        <v>94</v>
      </c>
      <c r="G443" s="11">
        <v>4</v>
      </c>
      <c r="H443" s="11">
        <v>800</v>
      </c>
      <c r="I443" s="11">
        <v>0.1</v>
      </c>
      <c r="J443" s="11">
        <v>2880</v>
      </c>
      <c r="K443" s="11">
        <v>2244.0700000000002</v>
      </c>
      <c r="L443" s="11">
        <v>635.92999999999995</v>
      </c>
      <c r="M443" s="11" t="s">
        <v>99</v>
      </c>
      <c r="N443" s="11" t="s">
        <v>71</v>
      </c>
      <c r="O443" s="11" t="s">
        <v>32</v>
      </c>
      <c r="P443" s="11" t="s">
        <v>46</v>
      </c>
      <c r="Q443" s="11" t="s">
        <v>47</v>
      </c>
    </row>
    <row r="444" spans="1:17" x14ac:dyDescent="0.25">
      <c r="A444" s="11" t="s">
        <v>907</v>
      </c>
      <c r="B444" s="12">
        <v>45716</v>
      </c>
      <c r="C444" s="11" t="s">
        <v>908</v>
      </c>
      <c r="D444" s="11" t="s">
        <v>909</v>
      </c>
      <c r="E444" s="11" t="s">
        <v>123</v>
      </c>
      <c r="F444" s="11" t="s">
        <v>21</v>
      </c>
      <c r="G444" s="11">
        <v>3</v>
      </c>
      <c r="H444" s="11">
        <v>2200</v>
      </c>
      <c r="I444" s="13">
        <v>0.15</v>
      </c>
      <c r="J444" s="11">
        <v>5610</v>
      </c>
      <c r="K444" s="11">
        <v>5290.23</v>
      </c>
      <c r="L444" s="11">
        <v>319.77</v>
      </c>
      <c r="M444" s="11" t="s">
        <v>43</v>
      </c>
      <c r="N444" s="11" t="s">
        <v>44</v>
      </c>
      <c r="O444" s="11" t="s">
        <v>45</v>
      </c>
      <c r="P444" s="11" t="s">
        <v>46</v>
      </c>
      <c r="Q444" s="11" t="s">
        <v>26</v>
      </c>
    </row>
    <row r="445" spans="1:17" x14ac:dyDescent="0.25">
      <c r="A445" s="11" t="s">
        <v>910</v>
      </c>
      <c r="B445" s="12">
        <v>45849</v>
      </c>
      <c r="C445" s="11" t="s">
        <v>52</v>
      </c>
      <c r="D445" s="11" t="s">
        <v>53</v>
      </c>
      <c r="E445" s="11" t="s">
        <v>103</v>
      </c>
      <c r="F445" s="11" t="s">
        <v>42</v>
      </c>
      <c r="G445" s="11">
        <v>5</v>
      </c>
      <c r="H445" s="11">
        <v>6000</v>
      </c>
      <c r="I445" s="11">
        <v>0.2</v>
      </c>
      <c r="J445" s="11">
        <v>24000</v>
      </c>
      <c r="K445" s="11">
        <v>25688.45</v>
      </c>
      <c r="L445" s="11">
        <v>-1688.45</v>
      </c>
      <c r="M445" s="11" t="s">
        <v>43</v>
      </c>
      <c r="N445" s="11" t="s">
        <v>44</v>
      </c>
      <c r="O445" s="11" t="s">
        <v>45</v>
      </c>
      <c r="P445" s="11" t="s">
        <v>95</v>
      </c>
      <c r="Q445" s="11" t="s">
        <v>60</v>
      </c>
    </row>
    <row r="446" spans="1:17" x14ac:dyDescent="0.25">
      <c r="A446" s="11" t="s">
        <v>911</v>
      </c>
      <c r="B446" s="12">
        <v>45970</v>
      </c>
      <c r="C446" s="11" t="s">
        <v>571</v>
      </c>
      <c r="D446" s="11" t="s">
        <v>572</v>
      </c>
      <c r="E446" s="11" t="s">
        <v>30</v>
      </c>
      <c r="F446" s="11" t="s">
        <v>31</v>
      </c>
      <c r="G446" s="11">
        <v>1</v>
      </c>
      <c r="H446" s="11">
        <v>1200</v>
      </c>
      <c r="I446" s="11">
        <v>0.1</v>
      </c>
      <c r="J446" s="11">
        <v>1080</v>
      </c>
      <c r="K446" s="11">
        <v>813.33</v>
      </c>
      <c r="L446" s="11">
        <v>266.67</v>
      </c>
      <c r="M446" s="11" t="s">
        <v>22</v>
      </c>
      <c r="N446" s="11" t="s">
        <v>23</v>
      </c>
      <c r="O446" s="11" t="s">
        <v>24</v>
      </c>
      <c r="P446" s="11" t="s">
        <v>95</v>
      </c>
      <c r="Q446" s="11" t="s">
        <v>26</v>
      </c>
    </row>
    <row r="447" spans="1:17" x14ac:dyDescent="0.25">
      <c r="A447" s="11" t="s">
        <v>912</v>
      </c>
      <c r="B447" s="12">
        <v>45870</v>
      </c>
      <c r="C447" s="11" t="s">
        <v>913</v>
      </c>
      <c r="D447" s="11" t="s">
        <v>914</v>
      </c>
      <c r="E447" s="11" t="s">
        <v>112</v>
      </c>
      <c r="F447" s="11" t="s">
        <v>94</v>
      </c>
      <c r="G447" s="11">
        <v>3</v>
      </c>
      <c r="H447" s="11">
        <v>800</v>
      </c>
      <c r="I447" s="11">
        <v>0</v>
      </c>
      <c r="J447" s="11">
        <v>2400</v>
      </c>
      <c r="K447" s="11">
        <v>1909.55</v>
      </c>
      <c r="L447" s="11">
        <v>490.45</v>
      </c>
      <c r="M447" s="11" t="s">
        <v>99</v>
      </c>
      <c r="N447" s="11" t="s">
        <v>71</v>
      </c>
      <c r="O447" s="11" t="s">
        <v>24</v>
      </c>
      <c r="P447" s="11" t="s">
        <v>25</v>
      </c>
      <c r="Q447" s="11" t="s">
        <v>26</v>
      </c>
    </row>
    <row r="448" spans="1:17" x14ac:dyDescent="0.25">
      <c r="A448" s="11" t="s">
        <v>915</v>
      </c>
      <c r="B448" s="12">
        <v>45916</v>
      </c>
      <c r="C448" s="11" t="s">
        <v>248</v>
      </c>
      <c r="D448" s="11" t="s">
        <v>249</v>
      </c>
      <c r="E448" s="11" t="s">
        <v>131</v>
      </c>
      <c r="F448" s="11" t="s">
        <v>21</v>
      </c>
      <c r="G448" s="11">
        <v>4</v>
      </c>
      <c r="H448" s="11">
        <v>1600</v>
      </c>
      <c r="I448" s="11">
        <v>0.2</v>
      </c>
      <c r="J448" s="11">
        <v>5120</v>
      </c>
      <c r="K448" s="11">
        <v>4894.28</v>
      </c>
      <c r="L448" s="11">
        <v>225.72</v>
      </c>
      <c r="M448" s="11" t="s">
        <v>80</v>
      </c>
      <c r="N448" s="11" t="s">
        <v>81</v>
      </c>
      <c r="O448" s="11" t="s">
        <v>24</v>
      </c>
      <c r="P448" s="11" t="s">
        <v>55</v>
      </c>
      <c r="Q448" s="11" t="s">
        <v>47</v>
      </c>
    </row>
    <row r="449" spans="1:17" x14ac:dyDescent="0.25">
      <c r="A449" s="11" t="s">
        <v>916</v>
      </c>
      <c r="B449" s="12">
        <v>45918</v>
      </c>
      <c r="C449" s="11" t="s">
        <v>223</v>
      </c>
      <c r="D449" s="11" t="s">
        <v>224</v>
      </c>
      <c r="E449" s="11" t="s">
        <v>30</v>
      </c>
      <c r="F449" s="11" t="s">
        <v>31</v>
      </c>
      <c r="G449" s="11">
        <v>5</v>
      </c>
      <c r="H449" s="11">
        <v>1200</v>
      </c>
      <c r="I449" s="11">
        <v>0.15</v>
      </c>
      <c r="J449" s="11">
        <v>5100</v>
      </c>
      <c r="K449" s="11">
        <v>4698.41</v>
      </c>
      <c r="L449" s="11">
        <v>401.59</v>
      </c>
      <c r="M449" s="11" t="s">
        <v>80</v>
      </c>
      <c r="N449" s="11" t="s">
        <v>81</v>
      </c>
      <c r="O449" s="11" t="s">
        <v>24</v>
      </c>
      <c r="P449" s="11" t="s">
        <v>95</v>
      </c>
      <c r="Q449" s="11" t="s">
        <v>26</v>
      </c>
    </row>
    <row r="450" spans="1:17" x14ac:dyDescent="0.25">
      <c r="A450" s="11" t="s">
        <v>917</v>
      </c>
      <c r="B450" s="12">
        <v>45822</v>
      </c>
      <c r="C450" s="11" t="s">
        <v>146</v>
      </c>
      <c r="D450" s="11" t="s">
        <v>147</v>
      </c>
      <c r="E450" s="11" t="s">
        <v>85</v>
      </c>
      <c r="F450" s="11" t="s">
        <v>86</v>
      </c>
      <c r="G450" s="11">
        <v>5</v>
      </c>
      <c r="H450" s="11">
        <v>450</v>
      </c>
      <c r="I450" s="11">
        <v>0.2</v>
      </c>
      <c r="J450" s="11">
        <v>1800</v>
      </c>
      <c r="K450" s="11">
        <v>1969.39</v>
      </c>
      <c r="L450" s="11">
        <v>-169.39</v>
      </c>
      <c r="M450" s="11" t="s">
        <v>75</v>
      </c>
      <c r="N450" s="11" t="s">
        <v>76</v>
      </c>
      <c r="O450" s="11" t="s">
        <v>24</v>
      </c>
      <c r="P450" s="11" t="s">
        <v>95</v>
      </c>
      <c r="Q450" s="11" t="s">
        <v>26</v>
      </c>
    </row>
    <row r="451" spans="1:17" x14ac:dyDescent="0.25">
      <c r="A451" s="11" t="s">
        <v>918</v>
      </c>
      <c r="B451" s="12">
        <v>45889</v>
      </c>
      <c r="C451" s="11" t="s">
        <v>18</v>
      </c>
      <c r="D451" s="11" t="s">
        <v>19</v>
      </c>
      <c r="E451" s="11" t="s">
        <v>85</v>
      </c>
      <c r="F451" s="11" t="s">
        <v>86</v>
      </c>
      <c r="G451" s="11">
        <v>3</v>
      </c>
      <c r="H451" s="11">
        <v>450</v>
      </c>
      <c r="I451" s="11">
        <v>0.1</v>
      </c>
      <c r="J451" s="11">
        <v>1215</v>
      </c>
      <c r="K451" s="11">
        <v>1005.66</v>
      </c>
      <c r="L451" s="11">
        <v>209.34</v>
      </c>
      <c r="M451" s="11" t="s">
        <v>80</v>
      </c>
      <c r="N451" s="11" t="s">
        <v>81</v>
      </c>
      <c r="O451" s="11" t="s">
        <v>24</v>
      </c>
      <c r="P451" s="11" t="s">
        <v>25</v>
      </c>
      <c r="Q451" s="11" t="s">
        <v>26</v>
      </c>
    </row>
    <row r="452" spans="1:17" x14ac:dyDescent="0.25">
      <c r="A452" s="11" t="s">
        <v>919</v>
      </c>
      <c r="B452" s="12">
        <v>45760</v>
      </c>
      <c r="C452" s="11" t="s">
        <v>318</v>
      </c>
      <c r="D452" s="11" t="s">
        <v>319</v>
      </c>
      <c r="E452" s="11" t="s">
        <v>66</v>
      </c>
      <c r="F452" s="11" t="s">
        <v>31</v>
      </c>
      <c r="G452" s="11">
        <v>5</v>
      </c>
      <c r="H452" s="11">
        <v>3500</v>
      </c>
      <c r="I452" s="11">
        <v>0.05</v>
      </c>
      <c r="J452" s="11">
        <v>16625</v>
      </c>
      <c r="K452" s="11">
        <v>14250.4</v>
      </c>
      <c r="L452" s="11">
        <v>2374.6</v>
      </c>
      <c r="M452" s="11" t="s">
        <v>22</v>
      </c>
      <c r="N452" s="11" t="s">
        <v>23</v>
      </c>
      <c r="O452" s="11" t="s">
        <v>45</v>
      </c>
      <c r="P452" s="11" t="s">
        <v>46</v>
      </c>
      <c r="Q452" s="11" t="s">
        <v>60</v>
      </c>
    </row>
    <row r="453" spans="1:17" x14ac:dyDescent="0.25">
      <c r="A453" s="11" t="s">
        <v>920</v>
      </c>
      <c r="B453" s="12">
        <v>45935</v>
      </c>
      <c r="C453" s="11" t="s">
        <v>257</v>
      </c>
      <c r="D453" s="11" t="s">
        <v>258</v>
      </c>
      <c r="E453" s="11" t="s">
        <v>107</v>
      </c>
      <c r="F453" s="11" t="s">
        <v>108</v>
      </c>
      <c r="G453" s="11">
        <v>2</v>
      </c>
      <c r="H453" s="11">
        <v>1400</v>
      </c>
      <c r="I453" s="11">
        <v>0.2</v>
      </c>
      <c r="J453" s="11">
        <v>2240</v>
      </c>
      <c r="K453" s="11">
        <v>1894.32</v>
      </c>
      <c r="L453" s="11">
        <v>345.68</v>
      </c>
      <c r="M453" s="11" t="s">
        <v>59</v>
      </c>
      <c r="N453" s="11" t="s">
        <v>59</v>
      </c>
      <c r="O453" s="11" t="s">
        <v>45</v>
      </c>
      <c r="P453" s="11" t="s">
        <v>25</v>
      </c>
      <c r="Q453" s="11" t="s">
        <v>26</v>
      </c>
    </row>
    <row r="454" spans="1:17" x14ac:dyDescent="0.25">
      <c r="A454" s="11" t="s">
        <v>921</v>
      </c>
      <c r="B454" s="12">
        <v>45874</v>
      </c>
      <c r="C454" s="11" t="s">
        <v>922</v>
      </c>
      <c r="D454" s="11" t="s">
        <v>923</v>
      </c>
      <c r="E454" s="11" t="s">
        <v>30</v>
      </c>
      <c r="F454" s="11" t="s">
        <v>31</v>
      </c>
      <c r="G454" s="11">
        <v>5</v>
      </c>
      <c r="H454" s="11">
        <v>1200</v>
      </c>
      <c r="I454" s="11">
        <v>0.1</v>
      </c>
      <c r="J454" s="11">
        <v>5400</v>
      </c>
      <c r="K454" s="11">
        <v>4046.93</v>
      </c>
      <c r="L454" s="11">
        <v>1353.07</v>
      </c>
      <c r="M454" s="11" t="s">
        <v>99</v>
      </c>
      <c r="N454" s="11" t="s">
        <v>71</v>
      </c>
      <c r="O454" s="11" t="s">
        <v>32</v>
      </c>
      <c r="P454" s="11" t="s">
        <v>95</v>
      </c>
      <c r="Q454" s="11" t="s">
        <v>26</v>
      </c>
    </row>
    <row r="455" spans="1:17" x14ac:dyDescent="0.25">
      <c r="A455" s="11" t="s">
        <v>924</v>
      </c>
      <c r="B455" s="12">
        <v>45740</v>
      </c>
      <c r="C455" s="11" t="s">
        <v>447</v>
      </c>
      <c r="D455" s="11" t="s">
        <v>448</v>
      </c>
      <c r="E455" s="11" t="s">
        <v>141</v>
      </c>
      <c r="F455" s="11" t="s">
        <v>21</v>
      </c>
      <c r="G455" s="11">
        <v>2</v>
      </c>
      <c r="H455" s="11">
        <v>22000</v>
      </c>
      <c r="I455" s="13">
        <v>0.1</v>
      </c>
      <c r="J455" s="11">
        <v>39600</v>
      </c>
      <c r="K455" s="11">
        <v>31135.68</v>
      </c>
      <c r="L455" s="11">
        <v>8464.32</v>
      </c>
      <c r="M455" s="11" t="s">
        <v>36</v>
      </c>
      <c r="N455" s="11" t="s">
        <v>23</v>
      </c>
      <c r="O455" s="11" t="s">
        <v>45</v>
      </c>
      <c r="P455" s="11" t="s">
        <v>46</v>
      </c>
      <c r="Q455" s="11" t="s">
        <v>26</v>
      </c>
    </row>
    <row r="456" spans="1:17" x14ac:dyDescent="0.25">
      <c r="A456" s="11" t="s">
        <v>925</v>
      </c>
      <c r="B456" s="12">
        <v>45710</v>
      </c>
      <c r="C456" s="11" t="s">
        <v>333</v>
      </c>
      <c r="D456" s="11" t="s">
        <v>334</v>
      </c>
      <c r="E456" s="11" t="s">
        <v>141</v>
      </c>
      <c r="F456" s="11" t="s">
        <v>21</v>
      </c>
      <c r="G456" s="11">
        <v>3</v>
      </c>
      <c r="H456" s="11">
        <v>22000</v>
      </c>
      <c r="I456" s="11">
        <v>0.15</v>
      </c>
      <c r="J456" s="11">
        <v>56100</v>
      </c>
      <c r="K456" s="11">
        <v>52723.27</v>
      </c>
      <c r="L456" s="11">
        <v>3376.73</v>
      </c>
      <c r="M456" s="11" t="s">
        <v>22</v>
      </c>
      <c r="N456" s="11" t="s">
        <v>23</v>
      </c>
      <c r="O456" s="11" t="s">
        <v>24</v>
      </c>
      <c r="P456" s="11" t="s">
        <v>95</v>
      </c>
      <c r="Q456" s="11" t="s">
        <v>47</v>
      </c>
    </row>
    <row r="457" spans="1:17" x14ac:dyDescent="0.25">
      <c r="A457" s="11" t="s">
        <v>926</v>
      </c>
      <c r="B457" s="12">
        <v>45856</v>
      </c>
      <c r="C457" s="11" t="s">
        <v>342</v>
      </c>
      <c r="D457" s="11" t="s">
        <v>343</v>
      </c>
      <c r="E457" s="11" t="s">
        <v>103</v>
      </c>
      <c r="F457" s="11" t="s">
        <v>42</v>
      </c>
      <c r="G457" s="11">
        <v>1</v>
      </c>
      <c r="H457" s="11">
        <v>6000</v>
      </c>
      <c r="I457" s="11">
        <v>0.15</v>
      </c>
      <c r="J457" s="11">
        <v>5100</v>
      </c>
      <c r="K457" s="11">
        <v>4987.59</v>
      </c>
      <c r="L457" s="11">
        <v>112.41</v>
      </c>
      <c r="M457" s="11" t="s">
        <v>75</v>
      </c>
      <c r="N457" s="11" t="s">
        <v>76</v>
      </c>
      <c r="O457" s="11" t="s">
        <v>24</v>
      </c>
      <c r="P457" s="11" t="s">
        <v>46</v>
      </c>
      <c r="Q457" s="11" t="s">
        <v>47</v>
      </c>
    </row>
    <row r="458" spans="1:17" x14ac:dyDescent="0.25">
      <c r="A458" s="11" t="s">
        <v>927</v>
      </c>
      <c r="B458" s="12">
        <v>45761</v>
      </c>
      <c r="C458" s="11" t="s">
        <v>163</v>
      </c>
      <c r="D458" s="11" t="s">
        <v>164</v>
      </c>
      <c r="E458" s="11" t="s">
        <v>141</v>
      </c>
      <c r="F458" s="11" t="s">
        <v>21</v>
      </c>
      <c r="G458" s="11">
        <v>1</v>
      </c>
      <c r="H458" s="11">
        <v>22000</v>
      </c>
      <c r="I458" s="11">
        <v>0.1</v>
      </c>
      <c r="J458" s="11">
        <v>19800</v>
      </c>
      <c r="K458" s="11">
        <v>15441.28</v>
      </c>
      <c r="L458" s="11">
        <v>4358.72</v>
      </c>
      <c r="M458" s="11" t="s">
        <v>70</v>
      </c>
      <c r="N458" s="11" t="s">
        <v>71</v>
      </c>
      <c r="O458" s="11" t="s">
        <v>32</v>
      </c>
      <c r="P458" s="11" t="s">
        <v>46</v>
      </c>
      <c r="Q458" s="11" t="s">
        <v>47</v>
      </c>
    </row>
    <row r="459" spans="1:17" x14ac:dyDescent="0.25">
      <c r="A459" s="11" t="s">
        <v>928</v>
      </c>
      <c r="B459" s="12">
        <v>45887</v>
      </c>
      <c r="C459" s="11" t="s">
        <v>447</v>
      </c>
      <c r="D459" s="11" t="s">
        <v>448</v>
      </c>
      <c r="E459" s="11" t="s">
        <v>112</v>
      </c>
      <c r="F459" s="11" t="s">
        <v>94</v>
      </c>
      <c r="G459" s="11">
        <v>2</v>
      </c>
      <c r="H459" s="11">
        <v>800</v>
      </c>
      <c r="I459" s="13">
        <v>0.1</v>
      </c>
      <c r="J459" s="11">
        <v>1440</v>
      </c>
      <c r="K459" s="11">
        <v>1067.4000000000001</v>
      </c>
      <c r="L459" s="11">
        <v>372.6</v>
      </c>
      <c r="M459" s="11" t="s">
        <v>80</v>
      </c>
      <c r="N459" s="11" t="s">
        <v>81</v>
      </c>
      <c r="O459" s="11" t="s">
        <v>45</v>
      </c>
      <c r="P459" s="11" t="s">
        <v>25</v>
      </c>
      <c r="Q459" s="11" t="s">
        <v>26</v>
      </c>
    </row>
    <row r="460" spans="1:17" x14ac:dyDescent="0.25">
      <c r="A460" s="11" t="s">
        <v>929</v>
      </c>
      <c r="B460" s="12">
        <v>45800</v>
      </c>
      <c r="C460" s="11" t="s">
        <v>372</v>
      </c>
      <c r="D460" s="11" t="s">
        <v>373</v>
      </c>
      <c r="E460" s="11" t="s">
        <v>85</v>
      </c>
      <c r="F460" s="11" t="s">
        <v>86</v>
      </c>
      <c r="G460" s="11">
        <v>1</v>
      </c>
      <c r="H460" s="11">
        <v>450</v>
      </c>
      <c r="I460" s="11">
        <v>0.15</v>
      </c>
      <c r="J460" s="11">
        <v>382.5</v>
      </c>
      <c r="K460" s="11">
        <v>309.16000000000003</v>
      </c>
      <c r="L460" s="11">
        <v>73.34</v>
      </c>
      <c r="M460" s="11" t="s">
        <v>36</v>
      </c>
      <c r="N460" s="11" t="s">
        <v>23</v>
      </c>
      <c r="O460" s="11" t="s">
        <v>24</v>
      </c>
      <c r="P460" s="11" t="s">
        <v>55</v>
      </c>
      <c r="Q460" s="11" t="s">
        <v>26</v>
      </c>
    </row>
    <row r="461" spans="1:17" x14ac:dyDescent="0.25">
      <c r="A461" s="11" t="s">
        <v>930</v>
      </c>
      <c r="B461" s="12">
        <v>45736</v>
      </c>
      <c r="C461" s="11" t="s">
        <v>299</v>
      </c>
      <c r="D461" s="11" t="s">
        <v>300</v>
      </c>
      <c r="E461" s="11" t="s">
        <v>131</v>
      </c>
      <c r="F461" s="11" t="s">
        <v>21</v>
      </c>
      <c r="G461" s="11">
        <v>2</v>
      </c>
      <c r="H461" s="11">
        <v>1600</v>
      </c>
      <c r="I461" s="11">
        <v>0</v>
      </c>
      <c r="J461" s="11">
        <v>3200</v>
      </c>
      <c r="K461" s="11">
        <v>2117.4299999999998</v>
      </c>
      <c r="L461" s="11">
        <v>1082.57</v>
      </c>
      <c r="M461" s="11" t="s">
        <v>59</v>
      </c>
      <c r="N461" s="11" t="s">
        <v>59</v>
      </c>
      <c r="O461" s="11" t="s">
        <v>45</v>
      </c>
      <c r="P461" s="11" t="s">
        <v>25</v>
      </c>
      <c r="Q461" s="11" t="s">
        <v>60</v>
      </c>
    </row>
    <row r="462" spans="1:17" x14ac:dyDescent="0.25">
      <c r="A462" s="11" t="s">
        <v>931</v>
      </c>
      <c r="B462" s="12">
        <v>45939</v>
      </c>
      <c r="C462" s="11" t="s">
        <v>152</v>
      </c>
      <c r="D462" s="11" t="s">
        <v>153</v>
      </c>
      <c r="E462" s="11" t="s">
        <v>103</v>
      </c>
      <c r="F462" s="11" t="s">
        <v>42</v>
      </c>
      <c r="G462" s="11">
        <v>4</v>
      </c>
      <c r="H462" s="11">
        <v>6000</v>
      </c>
      <c r="I462" s="11">
        <v>0.2</v>
      </c>
      <c r="J462" s="11">
        <v>19200</v>
      </c>
      <c r="K462" s="11">
        <v>19927.849999999999</v>
      </c>
      <c r="L462" s="11">
        <v>-727.85</v>
      </c>
      <c r="M462" s="11" t="s">
        <v>59</v>
      </c>
      <c r="N462" s="11" t="s">
        <v>59</v>
      </c>
      <c r="O462" s="11" t="s">
        <v>45</v>
      </c>
      <c r="P462" s="11" t="s">
        <v>25</v>
      </c>
      <c r="Q462" s="11" t="s">
        <v>26</v>
      </c>
    </row>
    <row r="463" spans="1:17" x14ac:dyDescent="0.25">
      <c r="A463" s="11" t="s">
        <v>932</v>
      </c>
      <c r="B463" s="12">
        <v>45916</v>
      </c>
      <c r="C463" s="11" t="s">
        <v>325</v>
      </c>
      <c r="D463" s="11" t="s">
        <v>326</v>
      </c>
      <c r="E463" s="11" t="s">
        <v>93</v>
      </c>
      <c r="F463" s="11" t="s">
        <v>94</v>
      </c>
      <c r="G463" s="11">
        <v>-2</v>
      </c>
      <c r="H463" s="11">
        <v>2800</v>
      </c>
      <c r="I463" s="11">
        <v>0</v>
      </c>
      <c r="J463" s="11">
        <v>-5600</v>
      </c>
      <c r="K463" s="11">
        <v>10848.72</v>
      </c>
      <c r="L463" s="11">
        <v>3151.28</v>
      </c>
      <c r="M463" s="11" t="s">
        <v>80</v>
      </c>
      <c r="N463" s="11" t="s">
        <v>81</v>
      </c>
      <c r="O463" s="11" t="s">
        <v>24</v>
      </c>
      <c r="P463" s="11" t="s">
        <v>55</v>
      </c>
      <c r="Q463" s="11" t="s">
        <v>26</v>
      </c>
    </row>
    <row r="464" spans="1:17" x14ac:dyDescent="0.25">
      <c r="A464" s="11" t="s">
        <v>933</v>
      </c>
      <c r="B464" s="12">
        <v>45827</v>
      </c>
      <c r="C464" s="11" t="s">
        <v>470</v>
      </c>
      <c r="D464" s="11" t="s">
        <v>471</v>
      </c>
      <c r="E464" s="11" t="s">
        <v>116</v>
      </c>
      <c r="F464" s="11" t="s">
        <v>94</v>
      </c>
      <c r="G464" s="11">
        <v>2</v>
      </c>
      <c r="H464" s="11">
        <v>1800</v>
      </c>
      <c r="I464" s="11">
        <v>0.1</v>
      </c>
      <c r="J464" s="11">
        <v>3240</v>
      </c>
      <c r="K464" s="11">
        <v>2520.87</v>
      </c>
      <c r="L464" s="11">
        <v>719.13</v>
      </c>
      <c r="M464" s="11" t="s">
        <v>59</v>
      </c>
      <c r="N464" s="11" t="s">
        <v>59</v>
      </c>
      <c r="O464" s="11" t="s">
        <v>24</v>
      </c>
      <c r="P464" s="11" t="s">
        <v>25</v>
      </c>
      <c r="Q464" s="11" t="s">
        <v>26</v>
      </c>
    </row>
    <row r="465" spans="1:17" x14ac:dyDescent="0.25">
      <c r="A465" s="11" t="s">
        <v>934</v>
      </c>
      <c r="B465" s="12">
        <v>45886</v>
      </c>
      <c r="C465" s="11" t="s">
        <v>349</v>
      </c>
      <c r="D465" s="11" t="s">
        <v>350</v>
      </c>
      <c r="E465" s="11" t="s">
        <v>158</v>
      </c>
      <c r="F465" s="11" t="s">
        <v>21</v>
      </c>
      <c r="G465" s="11">
        <v>1</v>
      </c>
      <c r="H465" s="11">
        <v>55000</v>
      </c>
      <c r="I465" s="11">
        <v>0.1</v>
      </c>
      <c r="J465" s="11">
        <v>49500</v>
      </c>
      <c r="K465" s="11">
        <v>43874.64</v>
      </c>
      <c r="L465" s="11">
        <v>5625.36</v>
      </c>
      <c r="M465" s="11" t="s">
        <v>22</v>
      </c>
      <c r="N465" s="11" t="s">
        <v>23</v>
      </c>
      <c r="O465" s="11" t="s">
        <v>32</v>
      </c>
      <c r="P465" s="11" t="s">
        <v>95</v>
      </c>
      <c r="Q465" s="11" t="s">
        <v>26</v>
      </c>
    </row>
    <row r="466" spans="1:17" x14ac:dyDescent="0.25">
      <c r="A466" s="11" t="s">
        <v>935</v>
      </c>
      <c r="B466" s="12">
        <v>45855</v>
      </c>
      <c r="C466" s="11" t="s">
        <v>717</v>
      </c>
      <c r="D466" s="11" t="s">
        <v>718</v>
      </c>
      <c r="E466" s="11" t="s">
        <v>66</v>
      </c>
      <c r="F466" s="11" t="s">
        <v>31</v>
      </c>
      <c r="G466" s="11">
        <v>4</v>
      </c>
      <c r="H466" s="11">
        <v>3500</v>
      </c>
      <c r="I466" s="13">
        <v>0</v>
      </c>
      <c r="J466" s="11">
        <v>14000</v>
      </c>
      <c r="K466" s="11">
        <v>11431.2</v>
      </c>
      <c r="L466" s="11">
        <v>2568.8000000000002</v>
      </c>
      <c r="M466" s="11" t="s">
        <v>36</v>
      </c>
      <c r="N466" s="11" t="s">
        <v>23</v>
      </c>
      <c r="O466" s="11" t="s">
        <v>32</v>
      </c>
      <c r="P466" s="11" t="s">
        <v>25</v>
      </c>
      <c r="Q466" s="11" t="s">
        <v>26</v>
      </c>
    </row>
    <row r="467" spans="1:17" x14ac:dyDescent="0.25">
      <c r="A467" s="11" t="s">
        <v>936</v>
      </c>
      <c r="B467" s="12">
        <v>45809</v>
      </c>
      <c r="C467" s="11" t="s">
        <v>937</v>
      </c>
      <c r="D467" s="11" t="s">
        <v>938</v>
      </c>
      <c r="E467" s="11" t="s">
        <v>131</v>
      </c>
      <c r="F467" s="11" t="s">
        <v>21</v>
      </c>
      <c r="G467" s="11">
        <v>4</v>
      </c>
      <c r="H467" s="11">
        <v>1600</v>
      </c>
      <c r="I467" s="13">
        <v>0</v>
      </c>
      <c r="J467" s="11">
        <v>6400</v>
      </c>
      <c r="K467" s="11">
        <v>4916.45</v>
      </c>
      <c r="L467" s="11">
        <v>1483.55</v>
      </c>
      <c r="M467" s="11" t="s">
        <v>22</v>
      </c>
      <c r="N467" s="11" t="s">
        <v>23</v>
      </c>
      <c r="O467" s="11" t="s">
        <v>32</v>
      </c>
      <c r="P467" s="11" t="s">
        <v>95</v>
      </c>
      <c r="Q467" s="11" t="s">
        <v>47</v>
      </c>
    </row>
    <row r="468" spans="1:17" x14ac:dyDescent="0.25">
      <c r="A468" s="11" t="s">
        <v>939</v>
      </c>
      <c r="B468" s="12">
        <v>46001</v>
      </c>
      <c r="C468" s="11" t="s">
        <v>315</v>
      </c>
      <c r="D468" s="11" t="s">
        <v>316</v>
      </c>
      <c r="E468" s="11" t="s">
        <v>158</v>
      </c>
      <c r="F468" s="11" t="s">
        <v>21</v>
      </c>
      <c r="G468" s="11">
        <v>1</v>
      </c>
      <c r="H468" s="11">
        <v>55000</v>
      </c>
      <c r="I468" s="13">
        <v>0.05</v>
      </c>
      <c r="J468" s="11">
        <v>52250</v>
      </c>
      <c r="K468" s="11">
        <v>44420.38</v>
      </c>
      <c r="L468" s="11">
        <v>7829.62</v>
      </c>
      <c r="M468" s="11" t="s">
        <v>22</v>
      </c>
      <c r="N468" s="11" t="s">
        <v>23</v>
      </c>
      <c r="O468" s="11" t="s">
        <v>32</v>
      </c>
      <c r="P468" s="11" t="s">
        <v>95</v>
      </c>
      <c r="Q468" s="11" t="s">
        <v>47</v>
      </c>
    </row>
    <row r="469" spans="1:17" x14ac:dyDescent="0.25">
      <c r="A469" s="11" t="s">
        <v>940</v>
      </c>
      <c r="B469" s="12">
        <v>45670</v>
      </c>
      <c r="C469" s="11" t="s">
        <v>160</v>
      </c>
      <c r="D469" s="11" t="s">
        <v>161</v>
      </c>
      <c r="E469" s="11" t="s">
        <v>30</v>
      </c>
      <c r="F469" s="11" t="s">
        <v>31</v>
      </c>
      <c r="G469" s="11">
        <v>1</v>
      </c>
      <c r="H469" s="11">
        <v>1200</v>
      </c>
      <c r="I469" s="13">
        <v>0.05</v>
      </c>
      <c r="J469" s="11">
        <v>1140</v>
      </c>
      <c r="K469" s="11">
        <v>871.55</v>
      </c>
      <c r="L469" s="11">
        <v>268.45</v>
      </c>
      <c r="M469" s="11" t="s">
        <v>70</v>
      </c>
      <c r="N469" s="11" t="s">
        <v>71</v>
      </c>
      <c r="O469" s="11" t="s">
        <v>45</v>
      </c>
      <c r="P469" s="11" t="s">
        <v>55</v>
      </c>
      <c r="Q469" s="11" t="s">
        <v>26</v>
      </c>
    </row>
    <row r="470" spans="1:17" x14ac:dyDescent="0.25">
      <c r="A470" s="11" t="s">
        <v>941</v>
      </c>
      <c r="B470" s="12">
        <v>45694</v>
      </c>
      <c r="C470" s="11" t="s">
        <v>516</v>
      </c>
      <c r="D470" s="11" t="s">
        <v>517</v>
      </c>
      <c r="E470" s="11" t="s">
        <v>93</v>
      </c>
      <c r="F470" s="11" t="s">
        <v>94</v>
      </c>
      <c r="G470" s="11">
        <v>3</v>
      </c>
      <c r="H470" s="11">
        <v>2800</v>
      </c>
      <c r="I470" s="11">
        <v>0.2</v>
      </c>
      <c r="J470" s="11">
        <v>6720</v>
      </c>
      <c r="K470" s="11">
        <v>5959.71</v>
      </c>
      <c r="L470" s="11">
        <v>760.29</v>
      </c>
      <c r="M470" s="11" t="s">
        <v>22</v>
      </c>
      <c r="N470" s="11" t="s">
        <v>23</v>
      </c>
      <c r="O470" s="11" t="s">
        <v>32</v>
      </c>
      <c r="P470" s="11" t="s">
        <v>37</v>
      </c>
      <c r="Q470" s="11" t="s">
        <v>60</v>
      </c>
    </row>
    <row r="471" spans="1:17" x14ac:dyDescent="0.25">
      <c r="A471" s="11" t="s">
        <v>942</v>
      </c>
      <c r="B471" s="12">
        <v>45666</v>
      </c>
      <c r="C471" s="11" t="s">
        <v>143</v>
      </c>
      <c r="D471" s="11" t="s">
        <v>144</v>
      </c>
      <c r="E471" s="11" t="s">
        <v>85</v>
      </c>
      <c r="F471" s="11" t="s">
        <v>86</v>
      </c>
      <c r="G471" s="11">
        <v>4</v>
      </c>
      <c r="H471" s="11">
        <v>450</v>
      </c>
      <c r="I471" s="13">
        <v>0.1</v>
      </c>
      <c r="J471" s="11">
        <v>1620</v>
      </c>
      <c r="K471" s="11">
        <v>1218.98</v>
      </c>
      <c r="L471" s="11">
        <v>401.02</v>
      </c>
      <c r="M471" s="11" t="s">
        <v>75</v>
      </c>
      <c r="N471" s="11" t="s">
        <v>76</v>
      </c>
      <c r="O471" s="11" t="s">
        <v>45</v>
      </c>
      <c r="P471" s="11" t="s">
        <v>25</v>
      </c>
      <c r="Q471" s="11" t="s">
        <v>26</v>
      </c>
    </row>
    <row r="472" spans="1:17" x14ac:dyDescent="0.25">
      <c r="A472" s="11" t="s">
        <v>943</v>
      </c>
      <c r="B472" s="12">
        <v>45915</v>
      </c>
      <c r="C472" s="11" t="s">
        <v>295</v>
      </c>
      <c r="D472" s="11" t="s">
        <v>296</v>
      </c>
      <c r="E472" s="11" t="s">
        <v>141</v>
      </c>
      <c r="F472" s="11" t="s">
        <v>21</v>
      </c>
      <c r="G472" s="11">
        <v>1</v>
      </c>
      <c r="H472" s="11">
        <v>22000</v>
      </c>
      <c r="I472" s="11">
        <v>0.1</v>
      </c>
      <c r="J472" s="11">
        <v>19800</v>
      </c>
      <c r="K472" s="11">
        <v>18281.669999999998</v>
      </c>
      <c r="L472" s="11">
        <v>1518.33</v>
      </c>
      <c r="M472" s="11" t="s">
        <v>43</v>
      </c>
      <c r="N472" s="11" t="s">
        <v>44</v>
      </c>
      <c r="O472" s="11" t="s">
        <v>32</v>
      </c>
      <c r="P472" s="11" t="s">
        <v>25</v>
      </c>
      <c r="Q472" s="11" t="s">
        <v>26</v>
      </c>
    </row>
    <row r="473" spans="1:17" x14ac:dyDescent="0.25">
      <c r="A473" s="11" t="s">
        <v>944</v>
      </c>
      <c r="B473" s="12">
        <v>45860</v>
      </c>
      <c r="C473" s="11" t="s">
        <v>205</v>
      </c>
      <c r="D473" s="11" t="s">
        <v>206</v>
      </c>
      <c r="E473" s="11" t="s">
        <v>103</v>
      </c>
      <c r="F473" s="11" t="s">
        <v>42</v>
      </c>
      <c r="G473" s="11">
        <v>4</v>
      </c>
      <c r="H473" s="11">
        <v>6000</v>
      </c>
      <c r="I473" s="13">
        <v>0.15</v>
      </c>
      <c r="J473" s="11">
        <v>20400</v>
      </c>
      <c r="K473" s="11">
        <v>16462.91</v>
      </c>
      <c r="L473" s="11">
        <v>3937.09</v>
      </c>
      <c r="M473" s="11" t="s">
        <v>99</v>
      </c>
      <c r="N473" s="11" t="s">
        <v>71</v>
      </c>
      <c r="O473" s="11" t="s">
        <v>24</v>
      </c>
      <c r="P473" s="11" t="s">
        <v>95</v>
      </c>
      <c r="Q473" s="11" t="s">
        <v>60</v>
      </c>
    </row>
    <row r="474" spans="1:17" x14ac:dyDescent="0.25">
      <c r="A474" s="11" t="s">
        <v>945</v>
      </c>
      <c r="B474" s="12">
        <v>45982</v>
      </c>
      <c r="C474" s="11" t="s">
        <v>536</v>
      </c>
      <c r="D474" s="11" t="s">
        <v>537</v>
      </c>
      <c r="E474" s="11" t="s">
        <v>85</v>
      </c>
      <c r="F474" s="11" t="s">
        <v>86</v>
      </c>
      <c r="G474" s="11">
        <v>5</v>
      </c>
      <c r="H474" s="11">
        <v>450</v>
      </c>
      <c r="I474" s="11">
        <v>0.1</v>
      </c>
      <c r="J474" s="11">
        <v>2025</v>
      </c>
      <c r="K474" s="11">
        <v>1813</v>
      </c>
      <c r="L474" s="11">
        <v>212</v>
      </c>
      <c r="M474" s="11" t="s">
        <v>80</v>
      </c>
      <c r="N474" s="11" t="s">
        <v>81</v>
      </c>
      <c r="O474" s="11" t="s">
        <v>32</v>
      </c>
      <c r="P474" s="11" t="s">
        <v>46</v>
      </c>
      <c r="Q474" s="11" t="s">
        <v>26</v>
      </c>
    </row>
    <row r="475" spans="1:17" x14ac:dyDescent="0.25">
      <c r="A475" s="11" t="s">
        <v>946</v>
      </c>
      <c r="B475" s="12">
        <v>45660</v>
      </c>
      <c r="C475" s="11" t="s">
        <v>947</v>
      </c>
      <c r="D475" s="11" t="s">
        <v>948</v>
      </c>
      <c r="E475" s="11" t="s">
        <v>107</v>
      </c>
      <c r="F475" s="11" t="s">
        <v>108</v>
      </c>
      <c r="G475" s="11">
        <v>1</v>
      </c>
      <c r="H475" s="11">
        <v>1400</v>
      </c>
      <c r="I475" s="13">
        <v>0</v>
      </c>
      <c r="J475" s="11">
        <v>1400</v>
      </c>
      <c r="K475" s="11">
        <v>1086.3</v>
      </c>
      <c r="L475" s="11">
        <v>313.7</v>
      </c>
      <c r="M475" s="11" t="s">
        <v>75</v>
      </c>
      <c r="N475" s="11" t="s">
        <v>76</v>
      </c>
      <c r="O475" s="11" t="s">
        <v>24</v>
      </c>
      <c r="P475" s="11" t="s">
        <v>46</v>
      </c>
      <c r="Q475" s="11" t="s">
        <v>26</v>
      </c>
    </row>
    <row r="476" spans="1:17" x14ac:dyDescent="0.25">
      <c r="A476" s="11" t="s">
        <v>949</v>
      </c>
      <c r="B476" s="12">
        <v>45988</v>
      </c>
      <c r="C476" s="11" t="s">
        <v>57</v>
      </c>
      <c r="D476" s="11" t="s">
        <v>58</v>
      </c>
      <c r="E476" s="11" t="s">
        <v>54</v>
      </c>
      <c r="F476" s="11" t="s">
        <v>31</v>
      </c>
      <c r="G476" s="11">
        <v>2</v>
      </c>
      <c r="H476" s="11">
        <v>2800</v>
      </c>
      <c r="I476" s="11">
        <v>0.15</v>
      </c>
      <c r="J476" s="11">
        <v>4760</v>
      </c>
      <c r="K476" s="11">
        <v>3876.98</v>
      </c>
      <c r="L476" s="11">
        <v>883.02</v>
      </c>
      <c r="M476" s="11" t="s">
        <v>80</v>
      </c>
      <c r="N476" s="11" t="s">
        <v>81</v>
      </c>
      <c r="O476" s="11" t="s">
        <v>45</v>
      </c>
      <c r="P476" s="11" t="s">
        <v>46</v>
      </c>
      <c r="Q476" s="11" t="s">
        <v>26</v>
      </c>
    </row>
    <row r="477" spans="1:17" x14ac:dyDescent="0.25">
      <c r="A477" s="11" t="s">
        <v>950</v>
      </c>
      <c r="B477" s="12">
        <v>45685</v>
      </c>
      <c r="C477" s="11" t="s">
        <v>597</v>
      </c>
      <c r="D477" s="11" t="s">
        <v>598</v>
      </c>
      <c r="E477" s="11" t="s">
        <v>20</v>
      </c>
      <c r="F477" s="11" t="s">
        <v>21</v>
      </c>
      <c r="G477" s="11">
        <v>2</v>
      </c>
      <c r="H477" s="11">
        <v>4500</v>
      </c>
      <c r="I477" s="11">
        <v>0.2</v>
      </c>
      <c r="J477" s="11">
        <v>7200</v>
      </c>
      <c r="K477" s="11">
        <v>6987.81</v>
      </c>
      <c r="L477" s="11">
        <v>212.19</v>
      </c>
      <c r="M477" s="11" t="s">
        <v>70</v>
      </c>
      <c r="N477" s="11" t="s">
        <v>71</v>
      </c>
      <c r="O477" s="11" t="s">
        <v>24</v>
      </c>
      <c r="P477" s="11" t="s">
        <v>55</v>
      </c>
      <c r="Q477" s="11" t="s">
        <v>26</v>
      </c>
    </row>
    <row r="478" spans="1:17" x14ac:dyDescent="0.25">
      <c r="A478" s="11" t="s">
        <v>951</v>
      </c>
      <c r="B478" s="12">
        <v>45907</v>
      </c>
      <c r="C478" s="11" t="s">
        <v>879</v>
      </c>
      <c r="D478" s="11" t="s">
        <v>880</v>
      </c>
      <c r="E478" s="11" t="s">
        <v>20</v>
      </c>
      <c r="F478" s="11" t="s">
        <v>21</v>
      </c>
      <c r="G478" s="11">
        <v>2</v>
      </c>
      <c r="H478" s="11">
        <v>4500</v>
      </c>
      <c r="I478" s="11">
        <v>0.2</v>
      </c>
      <c r="J478" s="11">
        <v>7200</v>
      </c>
      <c r="K478" s="11">
        <v>6115.41</v>
      </c>
      <c r="L478" s="11">
        <v>1084.5899999999999</v>
      </c>
      <c r="M478" s="11" t="s">
        <v>59</v>
      </c>
      <c r="N478" s="11" t="s">
        <v>59</v>
      </c>
      <c r="O478" s="11" t="s">
        <v>24</v>
      </c>
      <c r="P478" s="11" t="s">
        <v>95</v>
      </c>
      <c r="Q478" s="11" t="s">
        <v>26</v>
      </c>
    </row>
    <row r="479" spans="1:17" x14ac:dyDescent="0.25">
      <c r="A479" s="11" t="s">
        <v>952</v>
      </c>
      <c r="B479" s="12">
        <v>45757</v>
      </c>
      <c r="C479" s="11" t="s">
        <v>230</v>
      </c>
      <c r="D479" s="11" t="s">
        <v>231</v>
      </c>
      <c r="E479" s="11" t="s">
        <v>103</v>
      </c>
      <c r="F479" s="11" t="s">
        <v>42</v>
      </c>
      <c r="G479" s="11">
        <v>5</v>
      </c>
      <c r="H479" s="11">
        <v>6000</v>
      </c>
      <c r="I479" s="11">
        <v>0</v>
      </c>
      <c r="J479" s="11">
        <v>30000</v>
      </c>
      <c r="K479" s="11">
        <v>22609.46</v>
      </c>
      <c r="L479" s="11">
        <v>7390.54</v>
      </c>
      <c r="M479" s="11" t="s">
        <v>59</v>
      </c>
      <c r="N479" s="11" t="s">
        <v>59</v>
      </c>
      <c r="O479" s="11" t="s">
        <v>32</v>
      </c>
      <c r="P479" s="11" t="s">
        <v>46</v>
      </c>
      <c r="Q479" s="11" t="s">
        <v>60</v>
      </c>
    </row>
    <row r="480" spans="1:17" x14ac:dyDescent="0.25">
      <c r="A480" s="11" t="s">
        <v>953</v>
      </c>
      <c r="B480" s="12">
        <v>45844</v>
      </c>
      <c r="C480" s="11" t="s">
        <v>457</v>
      </c>
      <c r="D480" s="11" t="s">
        <v>458</v>
      </c>
      <c r="E480" s="11" t="s">
        <v>107</v>
      </c>
      <c r="F480" s="11" t="s">
        <v>108</v>
      </c>
      <c r="G480" s="11">
        <v>5</v>
      </c>
      <c r="H480" s="11">
        <v>1400</v>
      </c>
      <c r="I480" s="13">
        <v>0.2</v>
      </c>
      <c r="J480" s="11">
        <v>5600</v>
      </c>
      <c r="K480" s="11">
        <v>5239.57</v>
      </c>
      <c r="L480" s="11">
        <v>360.43</v>
      </c>
      <c r="M480" s="11" t="s">
        <v>59</v>
      </c>
      <c r="N480" s="11" t="s">
        <v>59</v>
      </c>
      <c r="O480" s="11" t="s">
        <v>45</v>
      </c>
      <c r="P480" s="11" t="s">
        <v>46</v>
      </c>
      <c r="Q480" s="11" t="s">
        <v>26</v>
      </c>
    </row>
    <row r="481" spans="1:17" x14ac:dyDescent="0.25">
      <c r="A481" s="11" t="s">
        <v>954</v>
      </c>
      <c r="B481" s="12">
        <v>45842</v>
      </c>
      <c r="C481" s="11" t="s">
        <v>182</v>
      </c>
      <c r="D481" s="11" t="s">
        <v>183</v>
      </c>
      <c r="E481" s="11" t="s">
        <v>116</v>
      </c>
      <c r="F481" s="11" t="s">
        <v>94</v>
      </c>
      <c r="G481" s="11">
        <v>4</v>
      </c>
      <c r="H481" s="11">
        <v>1800</v>
      </c>
      <c r="I481" s="11">
        <v>0.1</v>
      </c>
      <c r="J481" s="11">
        <v>6480</v>
      </c>
      <c r="K481" s="11">
        <v>5893.8</v>
      </c>
      <c r="L481" s="11">
        <v>586.20000000000005</v>
      </c>
      <c r="M481" s="11" t="s">
        <v>80</v>
      </c>
      <c r="N481" s="11" t="s">
        <v>81</v>
      </c>
      <c r="O481" s="11" t="s">
        <v>32</v>
      </c>
      <c r="P481" s="11" t="s">
        <v>37</v>
      </c>
      <c r="Q481" s="11" t="s">
        <v>26</v>
      </c>
    </row>
    <row r="482" spans="1:17" x14ac:dyDescent="0.25">
      <c r="A482" s="11" t="s">
        <v>955</v>
      </c>
      <c r="B482" s="12">
        <v>45940</v>
      </c>
      <c r="C482" s="11" t="s">
        <v>600</v>
      </c>
      <c r="D482" s="11" t="s">
        <v>601</v>
      </c>
      <c r="E482" s="11" t="s">
        <v>54</v>
      </c>
      <c r="F482" s="11" t="s">
        <v>31</v>
      </c>
      <c r="G482" s="11">
        <v>3</v>
      </c>
      <c r="H482" s="11">
        <v>2800</v>
      </c>
      <c r="I482" s="13">
        <v>0.15</v>
      </c>
      <c r="J482" s="11">
        <v>7140</v>
      </c>
      <c r="K482" s="11">
        <v>6707.21</v>
      </c>
      <c r="L482" s="11">
        <v>432.79</v>
      </c>
      <c r="M482" s="11" t="s">
        <v>43</v>
      </c>
      <c r="N482" s="11" t="s">
        <v>44</v>
      </c>
      <c r="O482" s="11" t="s">
        <v>32</v>
      </c>
      <c r="P482" s="11" t="s">
        <v>46</v>
      </c>
      <c r="Q482" s="11" t="s">
        <v>26</v>
      </c>
    </row>
    <row r="483" spans="1:17" x14ac:dyDescent="0.25">
      <c r="A483" s="11" t="s">
        <v>956</v>
      </c>
      <c r="B483" s="12">
        <v>45696</v>
      </c>
      <c r="C483" s="11" t="s">
        <v>957</v>
      </c>
      <c r="D483" s="11" t="s">
        <v>958</v>
      </c>
      <c r="E483" s="11" t="s">
        <v>112</v>
      </c>
      <c r="F483" s="11" t="s">
        <v>94</v>
      </c>
      <c r="G483" s="11">
        <v>3</v>
      </c>
      <c r="H483" s="11">
        <v>800</v>
      </c>
      <c r="I483" s="13">
        <v>0</v>
      </c>
      <c r="J483" s="11">
        <v>2400</v>
      </c>
      <c r="K483" s="11">
        <v>1839.96</v>
      </c>
      <c r="L483" s="11">
        <v>560.04</v>
      </c>
      <c r="M483" s="11" t="s">
        <v>99</v>
      </c>
      <c r="N483" s="11" t="s">
        <v>71</v>
      </c>
      <c r="O483" s="11" t="s">
        <v>24</v>
      </c>
      <c r="P483" s="11" t="s">
        <v>25</v>
      </c>
      <c r="Q483" s="11" t="s">
        <v>47</v>
      </c>
    </row>
    <row r="484" spans="1:17" x14ac:dyDescent="0.25">
      <c r="A484" s="11" t="s">
        <v>959</v>
      </c>
      <c r="B484" s="12">
        <v>45676</v>
      </c>
      <c r="C484" s="11" t="s">
        <v>508</v>
      </c>
      <c r="D484" s="11" t="s">
        <v>509</v>
      </c>
      <c r="E484" s="11" t="s">
        <v>85</v>
      </c>
      <c r="F484" s="11" t="s">
        <v>86</v>
      </c>
      <c r="G484" s="11">
        <v>5</v>
      </c>
      <c r="H484" s="11">
        <v>450</v>
      </c>
      <c r="I484" s="11">
        <v>0.05</v>
      </c>
      <c r="J484" s="11">
        <v>2137.5</v>
      </c>
      <c r="K484" s="11">
        <v>1925.14</v>
      </c>
      <c r="L484" s="11">
        <v>212.36</v>
      </c>
      <c r="M484" s="11" t="s">
        <v>36</v>
      </c>
      <c r="N484" s="11" t="s">
        <v>23</v>
      </c>
      <c r="O484" s="11" t="s">
        <v>24</v>
      </c>
      <c r="P484" s="11" t="s">
        <v>37</v>
      </c>
      <c r="Q484" s="11" t="s">
        <v>60</v>
      </c>
    </row>
    <row r="485" spans="1:17" x14ac:dyDescent="0.25">
      <c r="A485" s="11" t="s">
        <v>960</v>
      </c>
      <c r="B485" s="12">
        <v>45772</v>
      </c>
      <c r="C485" s="11" t="s">
        <v>779</v>
      </c>
      <c r="D485" s="11" t="s">
        <v>780</v>
      </c>
      <c r="E485" s="11" t="s">
        <v>107</v>
      </c>
      <c r="F485" s="11" t="s">
        <v>108</v>
      </c>
      <c r="G485" s="11">
        <v>3</v>
      </c>
      <c r="H485" s="11">
        <v>1400</v>
      </c>
      <c r="I485" s="11">
        <v>0.15</v>
      </c>
      <c r="J485" s="11">
        <v>3570</v>
      </c>
      <c r="K485" s="11">
        <v>3178.9</v>
      </c>
      <c r="L485" s="11">
        <v>391.1</v>
      </c>
      <c r="M485" s="11" t="s">
        <v>36</v>
      </c>
      <c r="N485" s="11" t="s">
        <v>23</v>
      </c>
      <c r="O485" s="11" t="s">
        <v>24</v>
      </c>
      <c r="P485" s="11" t="s">
        <v>55</v>
      </c>
      <c r="Q485" s="11" t="s">
        <v>26</v>
      </c>
    </row>
    <row r="486" spans="1:17" x14ac:dyDescent="0.25">
      <c r="A486" s="11" t="s">
        <v>961</v>
      </c>
      <c r="B486" s="12">
        <v>45997</v>
      </c>
      <c r="C486" s="11" t="s">
        <v>957</v>
      </c>
      <c r="D486" s="11" t="s">
        <v>958</v>
      </c>
      <c r="E486" s="11" t="s">
        <v>54</v>
      </c>
      <c r="F486" s="11" t="s">
        <v>31</v>
      </c>
      <c r="G486" s="11">
        <v>5</v>
      </c>
      <c r="H486" s="11">
        <v>2800</v>
      </c>
      <c r="I486" s="11">
        <v>0</v>
      </c>
      <c r="J486" s="11">
        <v>14000</v>
      </c>
      <c r="K486" s="11">
        <v>12204.08</v>
      </c>
      <c r="L486" s="11">
        <v>1795.92</v>
      </c>
      <c r="M486" s="11" t="s">
        <v>22</v>
      </c>
      <c r="N486" s="11" t="s">
        <v>23</v>
      </c>
      <c r="O486" s="11" t="s">
        <v>45</v>
      </c>
      <c r="P486" s="11" t="s">
        <v>95</v>
      </c>
      <c r="Q486" s="11" t="s">
        <v>47</v>
      </c>
    </row>
    <row r="487" spans="1:17" x14ac:dyDescent="0.25">
      <c r="A487" s="11" t="s">
        <v>962</v>
      </c>
      <c r="B487" s="12">
        <v>45749</v>
      </c>
      <c r="C487" s="11" t="s">
        <v>963</v>
      </c>
      <c r="D487" s="11" t="s">
        <v>964</v>
      </c>
      <c r="E487" s="11" t="s">
        <v>107</v>
      </c>
      <c r="F487" s="11" t="s">
        <v>108</v>
      </c>
      <c r="G487" s="11">
        <v>4</v>
      </c>
      <c r="H487" s="11">
        <v>1400</v>
      </c>
      <c r="I487" s="11">
        <v>0.05</v>
      </c>
      <c r="J487" s="11">
        <v>5320</v>
      </c>
      <c r="K487" s="11">
        <v>4582.82</v>
      </c>
      <c r="L487" s="11">
        <v>737.18</v>
      </c>
      <c r="M487" s="11" t="s">
        <v>80</v>
      </c>
      <c r="N487" s="11" t="s">
        <v>81</v>
      </c>
      <c r="O487" s="11" t="s">
        <v>32</v>
      </c>
      <c r="P487" s="11" t="s">
        <v>55</v>
      </c>
      <c r="Q487" s="11" t="s">
        <v>26</v>
      </c>
    </row>
    <row r="488" spans="1:17" x14ac:dyDescent="0.25">
      <c r="A488" s="11" t="s">
        <v>965</v>
      </c>
      <c r="B488" s="12">
        <v>45793</v>
      </c>
      <c r="C488" s="11" t="s">
        <v>28</v>
      </c>
      <c r="D488" s="11" t="s">
        <v>29</v>
      </c>
      <c r="E488" s="11" t="s">
        <v>123</v>
      </c>
      <c r="F488" s="11" t="s">
        <v>21</v>
      </c>
      <c r="G488" s="11">
        <v>2</v>
      </c>
      <c r="H488" s="11">
        <v>2200</v>
      </c>
      <c r="I488" s="13">
        <v>0</v>
      </c>
      <c r="J488" s="11">
        <v>4400</v>
      </c>
      <c r="K488" s="11">
        <v>2903.32</v>
      </c>
      <c r="L488" s="11">
        <v>1496.68</v>
      </c>
      <c r="M488" s="11" t="s">
        <v>59</v>
      </c>
      <c r="N488" s="11" t="s">
        <v>59</v>
      </c>
      <c r="O488" s="11" t="s">
        <v>24</v>
      </c>
      <c r="P488" s="11" t="s">
        <v>25</v>
      </c>
      <c r="Q488" s="11" t="s">
        <v>26</v>
      </c>
    </row>
    <row r="489" spans="1:17" x14ac:dyDescent="0.25">
      <c r="A489" s="11" t="s">
        <v>966</v>
      </c>
      <c r="B489" s="12">
        <v>45681</v>
      </c>
      <c r="C489" s="11" t="s">
        <v>967</v>
      </c>
      <c r="D489" s="11" t="s">
        <v>968</v>
      </c>
      <c r="E489" s="11" t="s">
        <v>85</v>
      </c>
      <c r="F489" s="11" t="s">
        <v>86</v>
      </c>
      <c r="G489" s="11">
        <v>4</v>
      </c>
      <c r="H489" s="11">
        <v>450</v>
      </c>
      <c r="I489" s="11">
        <v>0.15</v>
      </c>
      <c r="J489" s="11">
        <v>1530</v>
      </c>
      <c r="K489" s="11">
        <v>1304.17</v>
      </c>
      <c r="L489" s="11">
        <v>225.83</v>
      </c>
      <c r="M489" s="11" t="s">
        <v>99</v>
      </c>
      <c r="N489" s="11" t="s">
        <v>71</v>
      </c>
      <c r="O489" s="11" t="s">
        <v>45</v>
      </c>
      <c r="P489" s="11" t="s">
        <v>25</v>
      </c>
      <c r="Q489" s="11" t="s">
        <v>60</v>
      </c>
    </row>
    <row r="490" spans="1:17" x14ac:dyDescent="0.25">
      <c r="A490" s="11" t="s">
        <v>969</v>
      </c>
      <c r="B490" s="12">
        <v>45936</v>
      </c>
      <c r="C490" s="11" t="s">
        <v>970</v>
      </c>
      <c r="D490" s="11" t="s">
        <v>971</v>
      </c>
      <c r="E490" s="11" t="s">
        <v>41</v>
      </c>
      <c r="F490" s="11" t="s">
        <v>42</v>
      </c>
      <c r="G490" s="11">
        <v>3</v>
      </c>
      <c r="H490" s="11">
        <v>7500</v>
      </c>
      <c r="I490" s="11">
        <v>0.2</v>
      </c>
      <c r="J490" s="11">
        <v>18000</v>
      </c>
      <c r="K490" s="11">
        <v>18007.77</v>
      </c>
      <c r="L490" s="11">
        <v>-7.77</v>
      </c>
      <c r="M490" s="11" t="s">
        <v>80</v>
      </c>
      <c r="N490" s="11" t="s">
        <v>81</v>
      </c>
      <c r="O490" s="11" t="s">
        <v>45</v>
      </c>
      <c r="P490" s="11" t="s">
        <v>25</v>
      </c>
      <c r="Q490" s="11" t="s">
        <v>60</v>
      </c>
    </row>
    <row r="491" spans="1:17" x14ac:dyDescent="0.25">
      <c r="A491" s="11" t="s">
        <v>972</v>
      </c>
      <c r="B491" s="12">
        <v>45850</v>
      </c>
      <c r="C491" s="11" t="s">
        <v>973</v>
      </c>
      <c r="D491" s="11" t="s">
        <v>974</v>
      </c>
      <c r="E491" s="11" t="s">
        <v>62</v>
      </c>
      <c r="F491" s="11" t="s">
        <v>21</v>
      </c>
      <c r="G491" s="11">
        <v>5</v>
      </c>
      <c r="H491" s="11">
        <v>1800</v>
      </c>
      <c r="I491" s="11">
        <v>0.1</v>
      </c>
      <c r="J491" s="11">
        <v>8100</v>
      </c>
      <c r="K491" s="11">
        <v>6690.09</v>
      </c>
      <c r="L491" s="11">
        <v>1409.91</v>
      </c>
      <c r="M491" s="11" t="s">
        <v>22</v>
      </c>
      <c r="N491" s="11" t="s">
        <v>23</v>
      </c>
      <c r="O491" s="11" t="s">
        <v>24</v>
      </c>
      <c r="P491" s="11" t="s">
        <v>37</v>
      </c>
      <c r="Q491" s="11" t="s">
        <v>26</v>
      </c>
    </row>
    <row r="492" spans="1:17" x14ac:dyDescent="0.25">
      <c r="A492" s="11" t="s">
        <v>975</v>
      </c>
      <c r="B492" s="12">
        <v>45883</v>
      </c>
      <c r="C492" s="11" t="s">
        <v>345</v>
      </c>
      <c r="D492" s="11" t="s">
        <v>346</v>
      </c>
      <c r="E492" s="11" t="s">
        <v>158</v>
      </c>
      <c r="F492" s="11" t="s">
        <v>21</v>
      </c>
      <c r="G492" s="11">
        <v>5</v>
      </c>
      <c r="H492" s="11">
        <v>55000</v>
      </c>
      <c r="I492" s="11">
        <v>0.05</v>
      </c>
      <c r="J492" s="11">
        <v>261250</v>
      </c>
      <c r="K492" s="11">
        <v>183625.83</v>
      </c>
      <c r="L492" s="11">
        <v>77624.17</v>
      </c>
      <c r="M492" s="11" t="s">
        <v>80</v>
      </c>
      <c r="N492" s="11" t="s">
        <v>81</v>
      </c>
      <c r="O492" s="11" t="s">
        <v>45</v>
      </c>
      <c r="P492" s="11" t="s">
        <v>46</v>
      </c>
      <c r="Q492" s="11" t="s">
        <v>26</v>
      </c>
    </row>
    <row r="493" spans="1:17" x14ac:dyDescent="0.25">
      <c r="A493" s="11" t="s">
        <v>976</v>
      </c>
      <c r="B493" s="12">
        <v>45843</v>
      </c>
      <c r="C493" s="11" t="s">
        <v>577</v>
      </c>
      <c r="D493" s="11" t="s">
        <v>578</v>
      </c>
      <c r="E493" s="11" t="s">
        <v>107</v>
      </c>
      <c r="F493" s="11" t="s">
        <v>108</v>
      </c>
      <c r="G493" s="11">
        <v>2</v>
      </c>
      <c r="H493" s="11">
        <v>1400</v>
      </c>
      <c r="I493" s="11">
        <v>0.05</v>
      </c>
      <c r="J493" s="11">
        <v>2660</v>
      </c>
      <c r="K493" s="11">
        <v>1968.34</v>
      </c>
      <c r="L493" s="11">
        <v>691.66</v>
      </c>
      <c r="M493" s="11" t="s">
        <v>43</v>
      </c>
      <c r="N493" s="11" t="s">
        <v>44</v>
      </c>
      <c r="O493" s="11" t="s">
        <v>32</v>
      </c>
      <c r="P493" s="11" t="s">
        <v>55</v>
      </c>
      <c r="Q493" s="11" t="s">
        <v>26</v>
      </c>
    </row>
    <row r="494" spans="1:17" x14ac:dyDescent="0.25">
      <c r="A494" s="11" t="s">
        <v>977</v>
      </c>
      <c r="B494" s="12">
        <v>45960</v>
      </c>
      <c r="C494" s="11" t="s">
        <v>597</v>
      </c>
      <c r="D494" s="11" t="s">
        <v>598</v>
      </c>
      <c r="E494" s="11" t="s">
        <v>123</v>
      </c>
      <c r="F494" s="11" t="s">
        <v>21</v>
      </c>
      <c r="G494" s="11">
        <v>4</v>
      </c>
      <c r="H494" s="11">
        <v>2200</v>
      </c>
      <c r="I494" s="13">
        <v>0.05</v>
      </c>
      <c r="J494" s="11">
        <v>8360</v>
      </c>
      <c r="K494" s="11">
        <v>7406.73</v>
      </c>
      <c r="L494" s="11">
        <v>953.27</v>
      </c>
      <c r="M494" s="11" t="s">
        <v>80</v>
      </c>
      <c r="N494" s="11" t="s">
        <v>81</v>
      </c>
      <c r="O494" s="11" t="s">
        <v>24</v>
      </c>
      <c r="P494" s="11" t="s">
        <v>95</v>
      </c>
      <c r="Q494" s="11" t="s">
        <v>26</v>
      </c>
    </row>
    <row r="495" spans="1:17" x14ac:dyDescent="0.25">
      <c r="A495" s="11" t="s">
        <v>978</v>
      </c>
      <c r="B495" s="12">
        <v>45740</v>
      </c>
      <c r="C495" s="11" t="s">
        <v>487</v>
      </c>
      <c r="D495" s="11" t="s">
        <v>488</v>
      </c>
      <c r="E495" s="11" t="s">
        <v>107</v>
      </c>
      <c r="F495" s="11" t="s">
        <v>108</v>
      </c>
      <c r="G495" s="11">
        <v>5</v>
      </c>
      <c r="H495" s="11">
        <v>1400</v>
      </c>
      <c r="I495" s="11">
        <v>0.2</v>
      </c>
      <c r="J495" s="11">
        <v>5600</v>
      </c>
      <c r="K495" s="11">
        <v>5375.35</v>
      </c>
      <c r="L495" s="11">
        <v>224.65</v>
      </c>
      <c r="M495" s="11" t="s">
        <v>80</v>
      </c>
      <c r="N495" s="11" t="s">
        <v>81</v>
      </c>
      <c r="O495" s="11" t="s">
        <v>24</v>
      </c>
      <c r="P495" s="11" t="s">
        <v>95</v>
      </c>
      <c r="Q495" s="11" t="s">
        <v>26</v>
      </c>
    </row>
    <row r="496" spans="1:17" x14ac:dyDescent="0.25">
      <c r="A496" s="11" t="s">
        <v>979</v>
      </c>
      <c r="B496" s="12">
        <v>45922</v>
      </c>
      <c r="C496" s="11" t="s">
        <v>97</v>
      </c>
      <c r="D496" s="11" t="s">
        <v>98</v>
      </c>
      <c r="E496" s="11" t="s">
        <v>93</v>
      </c>
      <c r="F496" s="11" t="s">
        <v>94</v>
      </c>
      <c r="G496" s="11">
        <v>3</v>
      </c>
      <c r="H496" s="11">
        <v>2800</v>
      </c>
      <c r="I496" s="11">
        <v>0.05</v>
      </c>
      <c r="J496" s="11">
        <v>7980</v>
      </c>
      <c r="K496" s="11">
        <v>7332.58</v>
      </c>
      <c r="L496" s="11">
        <v>647.41999999999996</v>
      </c>
      <c r="M496" s="11" t="s">
        <v>75</v>
      </c>
      <c r="N496" s="11" t="s">
        <v>76</v>
      </c>
      <c r="O496" s="11" t="s">
        <v>32</v>
      </c>
      <c r="P496" s="11" t="s">
        <v>55</v>
      </c>
      <c r="Q496" s="11" t="s">
        <v>60</v>
      </c>
    </row>
    <row r="497" spans="1:17" x14ac:dyDescent="0.25">
      <c r="A497" s="11" t="s">
        <v>980</v>
      </c>
      <c r="B497" s="12">
        <v>45887</v>
      </c>
      <c r="C497" s="11" t="s">
        <v>336</v>
      </c>
      <c r="D497" s="11" t="s">
        <v>337</v>
      </c>
      <c r="E497" s="11" t="s">
        <v>103</v>
      </c>
      <c r="F497" s="11" t="s">
        <v>42</v>
      </c>
      <c r="G497" s="11">
        <v>1</v>
      </c>
      <c r="H497" s="11">
        <v>6000</v>
      </c>
      <c r="I497" s="13">
        <v>0.05</v>
      </c>
      <c r="J497" s="11">
        <v>5700</v>
      </c>
      <c r="K497" s="11">
        <v>4564.7</v>
      </c>
      <c r="L497" s="11">
        <v>1135.3</v>
      </c>
      <c r="M497" s="11" t="s">
        <v>70</v>
      </c>
      <c r="N497" s="11" t="s">
        <v>71</v>
      </c>
      <c r="O497" s="11" t="s">
        <v>45</v>
      </c>
      <c r="P497" s="11" t="s">
        <v>37</v>
      </c>
      <c r="Q497" s="11" t="s">
        <v>47</v>
      </c>
    </row>
    <row r="498" spans="1:17" x14ac:dyDescent="0.25">
      <c r="A498" s="11" t="s">
        <v>981</v>
      </c>
      <c r="B498" s="12">
        <v>45977</v>
      </c>
      <c r="C498" s="11" t="s">
        <v>133</v>
      </c>
      <c r="D498" s="11" t="s">
        <v>134</v>
      </c>
      <c r="E498" s="11" t="s">
        <v>107</v>
      </c>
      <c r="F498" s="11" t="s">
        <v>108</v>
      </c>
      <c r="G498" s="11">
        <v>5</v>
      </c>
      <c r="H498" s="11">
        <v>1400</v>
      </c>
      <c r="I498" s="11">
        <v>0.05</v>
      </c>
      <c r="J498" s="11">
        <v>6650</v>
      </c>
      <c r="K498" s="11">
        <v>5715.94</v>
      </c>
      <c r="L498" s="11">
        <v>934.06</v>
      </c>
      <c r="M498" s="11" t="s">
        <v>36</v>
      </c>
      <c r="N498" s="11" t="s">
        <v>23</v>
      </c>
      <c r="O498" s="11" t="s">
        <v>24</v>
      </c>
      <c r="P498" s="11" t="s">
        <v>37</v>
      </c>
      <c r="Q498" s="11" t="s">
        <v>47</v>
      </c>
    </row>
    <row r="499" spans="1:17" x14ac:dyDescent="0.25">
      <c r="A499" s="11" t="s">
        <v>982</v>
      </c>
      <c r="B499" s="12">
        <v>45855</v>
      </c>
      <c r="C499" s="11" t="s">
        <v>683</v>
      </c>
      <c r="D499" s="11" t="s">
        <v>684</v>
      </c>
      <c r="E499" s="11" t="s">
        <v>62</v>
      </c>
      <c r="F499" s="11" t="s">
        <v>21</v>
      </c>
      <c r="G499" s="11">
        <v>2</v>
      </c>
      <c r="H499" s="11">
        <v>1800</v>
      </c>
      <c r="I499" s="11">
        <v>0.15</v>
      </c>
      <c r="J499" s="11">
        <v>3060</v>
      </c>
      <c r="K499" s="11">
        <v>2353.71</v>
      </c>
      <c r="L499" s="11">
        <v>706.29</v>
      </c>
      <c r="M499" s="11" t="s">
        <v>80</v>
      </c>
      <c r="N499" s="11" t="s">
        <v>81</v>
      </c>
      <c r="O499" s="11" t="s">
        <v>24</v>
      </c>
      <c r="P499" s="11" t="s">
        <v>25</v>
      </c>
      <c r="Q499" s="11" t="s">
        <v>60</v>
      </c>
    </row>
    <row r="500" spans="1:17" x14ac:dyDescent="0.25">
      <c r="A500" s="11" t="s">
        <v>983</v>
      </c>
      <c r="B500" s="12">
        <v>45707</v>
      </c>
      <c r="C500" s="11" t="s">
        <v>205</v>
      </c>
      <c r="D500" s="11" t="s">
        <v>206</v>
      </c>
      <c r="E500" s="11" t="s">
        <v>30</v>
      </c>
      <c r="F500" s="11" t="s">
        <v>31</v>
      </c>
      <c r="G500" s="11">
        <v>2</v>
      </c>
      <c r="H500" s="11">
        <v>1200</v>
      </c>
      <c r="I500" s="11">
        <v>0.2</v>
      </c>
      <c r="J500" s="11">
        <v>1920</v>
      </c>
      <c r="K500" s="11">
        <v>2057.69</v>
      </c>
      <c r="L500" s="11">
        <v>-137.69</v>
      </c>
      <c r="M500" s="11" t="s">
        <v>80</v>
      </c>
      <c r="N500" s="11" t="s">
        <v>81</v>
      </c>
      <c r="O500" s="11" t="s">
        <v>32</v>
      </c>
      <c r="P500" s="11" t="s">
        <v>55</v>
      </c>
      <c r="Q500" s="11" t="s">
        <v>47</v>
      </c>
    </row>
    <row r="501" spans="1:17" x14ac:dyDescent="0.25">
      <c r="A501" s="11" t="s">
        <v>984</v>
      </c>
      <c r="B501" s="12">
        <v>45995</v>
      </c>
      <c r="C501" s="11" t="s">
        <v>356</v>
      </c>
      <c r="D501" s="11" t="s">
        <v>357</v>
      </c>
      <c r="E501" s="11" t="s">
        <v>20</v>
      </c>
      <c r="F501" s="11" t="s">
        <v>21</v>
      </c>
      <c r="G501" s="11">
        <v>1</v>
      </c>
      <c r="H501" s="11">
        <v>4500</v>
      </c>
      <c r="I501" s="13">
        <v>0.15</v>
      </c>
      <c r="J501" s="11">
        <v>3825</v>
      </c>
      <c r="K501" s="11">
        <v>3549.6</v>
      </c>
      <c r="L501" s="11">
        <v>275.39999999999998</v>
      </c>
      <c r="M501" s="11" t="s">
        <v>80</v>
      </c>
      <c r="N501" s="11" t="s">
        <v>81</v>
      </c>
      <c r="O501" s="11" t="s">
        <v>45</v>
      </c>
      <c r="P501" s="11" t="s">
        <v>37</v>
      </c>
      <c r="Q501" s="11" t="s">
        <v>47</v>
      </c>
    </row>
    <row r="502" spans="1:17" x14ac:dyDescent="0.25">
      <c r="A502" s="11" t="s">
        <v>985</v>
      </c>
      <c r="B502" s="12">
        <v>46015</v>
      </c>
      <c r="C502" s="11" t="s">
        <v>345</v>
      </c>
      <c r="D502" s="11" t="s">
        <v>346</v>
      </c>
      <c r="E502" s="11" t="s">
        <v>30</v>
      </c>
      <c r="F502" s="11" t="s">
        <v>31</v>
      </c>
      <c r="G502" s="11">
        <v>3</v>
      </c>
      <c r="H502" s="11">
        <v>1200</v>
      </c>
      <c r="I502" s="11">
        <v>0</v>
      </c>
      <c r="J502" s="11">
        <v>3600</v>
      </c>
      <c r="K502" s="11">
        <v>3117.01</v>
      </c>
      <c r="L502" s="11">
        <v>482.99</v>
      </c>
      <c r="M502" s="11" t="s">
        <v>75</v>
      </c>
      <c r="N502" s="11" t="s">
        <v>76</v>
      </c>
      <c r="O502" s="11" t="s">
        <v>32</v>
      </c>
      <c r="P502" s="11" t="s">
        <v>37</v>
      </c>
      <c r="Q502" s="11" t="s">
        <v>26</v>
      </c>
    </row>
    <row r="503" spans="1:17" x14ac:dyDescent="0.25">
      <c r="A503" s="11" t="s">
        <v>986</v>
      </c>
      <c r="B503" s="12">
        <v>45788</v>
      </c>
      <c r="C503" s="11" t="s">
        <v>987</v>
      </c>
      <c r="D503" s="11" t="s">
        <v>988</v>
      </c>
      <c r="E503" s="11" t="s">
        <v>20</v>
      </c>
      <c r="F503" s="11" t="s">
        <v>21</v>
      </c>
      <c r="G503" s="11">
        <v>4</v>
      </c>
      <c r="H503" s="11">
        <v>4500</v>
      </c>
      <c r="I503" s="13">
        <v>0.05</v>
      </c>
      <c r="J503" s="11">
        <v>17100</v>
      </c>
      <c r="K503" s="11">
        <v>12662.6</v>
      </c>
      <c r="L503" s="11">
        <v>4437.3999999999996</v>
      </c>
      <c r="M503" s="11" t="s">
        <v>70</v>
      </c>
      <c r="N503" s="11" t="s">
        <v>71</v>
      </c>
      <c r="O503" s="11" t="s">
        <v>24</v>
      </c>
      <c r="P503" s="11" t="s">
        <v>46</v>
      </c>
      <c r="Q503" s="11" t="s">
        <v>47</v>
      </c>
    </row>
    <row r="504" spans="1:17" x14ac:dyDescent="0.25">
      <c r="A504" s="11" t="s">
        <v>989</v>
      </c>
      <c r="B504" s="12">
        <v>45660</v>
      </c>
      <c r="C504" s="11" t="s">
        <v>285</v>
      </c>
      <c r="D504" s="11" t="s">
        <v>286</v>
      </c>
      <c r="E504" s="11" t="s">
        <v>30</v>
      </c>
      <c r="F504" s="11" t="s">
        <v>31</v>
      </c>
      <c r="G504" s="11">
        <v>3</v>
      </c>
      <c r="H504" s="11">
        <v>1200</v>
      </c>
      <c r="I504" s="11">
        <v>0.05</v>
      </c>
      <c r="J504" s="11">
        <v>3420</v>
      </c>
      <c r="K504" s="11">
        <v>2772.66</v>
      </c>
      <c r="L504" s="11">
        <v>647.34</v>
      </c>
      <c r="M504" s="11" t="s">
        <v>99</v>
      </c>
      <c r="N504" s="11" t="s">
        <v>71</v>
      </c>
      <c r="O504" s="11" t="s">
        <v>991</v>
      </c>
      <c r="P504" s="11" t="s">
        <v>55</v>
      </c>
      <c r="Q504" s="11" t="s">
        <v>26</v>
      </c>
    </row>
    <row r="505" spans="1:17" x14ac:dyDescent="0.25">
      <c r="A505" s="11" t="s">
        <v>992</v>
      </c>
      <c r="B505" s="12">
        <v>45971</v>
      </c>
      <c r="C505" s="11" t="s">
        <v>447</v>
      </c>
      <c r="D505" s="11" t="s">
        <v>448</v>
      </c>
      <c r="E505" s="11" t="s">
        <v>30</v>
      </c>
      <c r="F505" s="11" t="s">
        <v>31</v>
      </c>
      <c r="G505" s="11">
        <v>5</v>
      </c>
      <c r="H505" s="11">
        <v>1200</v>
      </c>
      <c r="I505" s="13">
        <v>0.1</v>
      </c>
      <c r="J505" s="11">
        <v>5400</v>
      </c>
      <c r="K505" s="11">
        <v>4448.49</v>
      </c>
      <c r="L505" s="11">
        <v>951.51</v>
      </c>
      <c r="M505" s="11" t="s">
        <v>36</v>
      </c>
      <c r="N505" s="11" t="s">
        <v>23</v>
      </c>
      <c r="O505" s="11" t="s">
        <v>32</v>
      </c>
      <c r="P505" s="11" t="s">
        <v>37</v>
      </c>
      <c r="Q505" s="11" t="s">
        <v>47</v>
      </c>
    </row>
    <row r="506" spans="1:17" x14ac:dyDescent="0.25">
      <c r="A506" s="11" t="s">
        <v>993</v>
      </c>
      <c r="B506" s="12">
        <v>45944</v>
      </c>
      <c r="C506" s="11" t="s">
        <v>499</v>
      </c>
      <c r="D506" s="11" t="s">
        <v>500</v>
      </c>
      <c r="E506" s="11" t="s">
        <v>123</v>
      </c>
      <c r="F506" s="11" t="s">
        <v>21</v>
      </c>
      <c r="G506" s="11">
        <v>2</v>
      </c>
      <c r="H506" s="11">
        <v>2200</v>
      </c>
      <c r="I506" s="11">
        <v>0.1</v>
      </c>
      <c r="J506" s="11">
        <v>3960</v>
      </c>
      <c r="K506" s="11">
        <v>3860.37</v>
      </c>
      <c r="L506" s="11">
        <v>99.63</v>
      </c>
      <c r="M506" s="11" t="s">
        <v>70</v>
      </c>
      <c r="N506" s="11" t="s">
        <v>71</v>
      </c>
      <c r="O506" s="11" t="s">
        <v>24</v>
      </c>
      <c r="P506" s="11" t="s">
        <v>46</v>
      </c>
      <c r="Q506" s="11" t="s">
        <v>60</v>
      </c>
    </row>
    <row r="507" spans="1:17" x14ac:dyDescent="0.25">
      <c r="A507" s="11" t="s">
        <v>994</v>
      </c>
      <c r="B507" s="12">
        <v>45775</v>
      </c>
      <c r="C507" s="11" t="s">
        <v>671</v>
      </c>
      <c r="D507" s="11" t="s">
        <v>672</v>
      </c>
      <c r="E507" s="11" t="s">
        <v>85</v>
      </c>
      <c r="F507" s="11" t="s">
        <v>86</v>
      </c>
      <c r="G507" s="11">
        <v>2</v>
      </c>
      <c r="H507" s="11">
        <v>450</v>
      </c>
      <c r="I507" s="13">
        <v>0</v>
      </c>
      <c r="J507" s="11">
        <v>900</v>
      </c>
      <c r="K507" s="11">
        <v>729.76</v>
      </c>
      <c r="L507" s="11">
        <v>170.24</v>
      </c>
      <c r="M507" s="11" t="s">
        <v>70</v>
      </c>
      <c r="N507" s="11" t="s">
        <v>71</v>
      </c>
      <c r="O507" s="11" t="s">
        <v>32</v>
      </c>
      <c r="P507" s="11" t="s">
        <v>55</v>
      </c>
      <c r="Q507" s="11" t="s">
        <v>26</v>
      </c>
    </row>
    <row r="508" spans="1:17" x14ac:dyDescent="0.25">
      <c r="A508" s="11" t="s">
        <v>995</v>
      </c>
      <c r="B508" s="12">
        <v>45972</v>
      </c>
      <c r="C508" s="11" t="s">
        <v>57</v>
      </c>
      <c r="D508" s="11" t="s">
        <v>58</v>
      </c>
      <c r="E508" s="11" t="s">
        <v>85</v>
      </c>
      <c r="F508" s="11" t="s">
        <v>86</v>
      </c>
      <c r="G508" s="11">
        <v>3</v>
      </c>
      <c r="H508" s="11">
        <v>450</v>
      </c>
      <c r="I508" s="11">
        <v>0.2</v>
      </c>
      <c r="J508" s="11">
        <v>1080</v>
      </c>
      <c r="K508" s="11">
        <v>998.32</v>
      </c>
      <c r="L508" s="11">
        <v>81.680000000000007</v>
      </c>
      <c r="M508" s="11" t="s">
        <v>99</v>
      </c>
      <c r="N508" s="11" t="s">
        <v>71</v>
      </c>
      <c r="O508" s="11" t="s">
        <v>24</v>
      </c>
      <c r="P508" s="11" t="s">
        <v>55</v>
      </c>
      <c r="Q508" s="11" t="s">
        <v>26</v>
      </c>
    </row>
    <row r="509" spans="1:17" x14ac:dyDescent="0.25">
      <c r="A509" s="11" t="s">
        <v>996</v>
      </c>
      <c r="B509" s="12">
        <v>45880</v>
      </c>
      <c r="C509" s="11" t="s">
        <v>406</v>
      </c>
      <c r="D509" s="11" t="s">
        <v>407</v>
      </c>
      <c r="E509" s="11" t="s">
        <v>107</v>
      </c>
      <c r="F509" s="11" t="s">
        <v>108</v>
      </c>
      <c r="G509" s="11">
        <v>4</v>
      </c>
      <c r="H509" s="11">
        <v>1400</v>
      </c>
      <c r="I509" s="11">
        <v>0.2</v>
      </c>
      <c r="J509" s="11">
        <v>4480</v>
      </c>
      <c r="K509" s="11">
        <v>3978.86</v>
      </c>
      <c r="L509" s="11">
        <v>501.14</v>
      </c>
      <c r="M509" s="11" t="s">
        <v>43</v>
      </c>
      <c r="N509" s="11" t="s">
        <v>44</v>
      </c>
      <c r="O509" s="11" t="s">
        <v>45</v>
      </c>
      <c r="P509" s="11" t="s">
        <v>55</v>
      </c>
      <c r="Q509" s="11" t="s">
        <v>47</v>
      </c>
    </row>
    <row r="510" spans="1:17" x14ac:dyDescent="0.25">
      <c r="A510" s="11" t="s">
        <v>997</v>
      </c>
      <c r="B510" s="12">
        <v>45972</v>
      </c>
      <c r="C510" s="11" t="s">
        <v>220</v>
      </c>
      <c r="D510" s="11" t="s">
        <v>221</v>
      </c>
      <c r="E510" s="11" t="s">
        <v>141</v>
      </c>
      <c r="F510" s="11" t="s">
        <v>21</v>
      </c>
      <c r="G510" s="11">
        <v>4</v>
      </c>
      <c r="H510" s="11">
        <v>22000</v>
      </c>
      <c r="I510" s="13">
        <v>0.15</v>
      </c>
      <c r="J510" s="11">
        <v>74800</v>
      </c>
      <c r="K510" s="11">
        <v>76701.84</v>
      </c>
      <c r="L510" s="11">
        <v>-1901.84</v>
      </c>
      <c r="M510" s="11" t="s">
        <v>36</v>
      </c>
      <c r="N510" s="11" t="s">
        <v>23</v>
      </c>
      <c r="O510" s="11" t="s">
        <v>32</v>
      </c>
      <c r="P510" s="11" t="s">
        <v>95</v>
      </c>
      <c r="Q510" s="11" t="s">
        <v>60</v>
      </c>
    </row>
    <row r="511" spans="1:17" x14ac:dyDescent="0.25">
      <c r="A511" s="11" t="s">
        <v>998</v>
      </c>
      <c r="B511" s="12">
        <v>45761</v>
      </c>
      <c r="C511" s="11" t="s">
        <v>999</v>
      </c>
      <c r="D511" s="11" t="s">
        <v>1000</v>
      </c>
      <c r="E511" s="11" t="s">
        <v>123</v>
      </c>
      <c r="F511" s="11" t="s">
        <v>21</v>
      </c>
      <c r="G511" s="11">
        <v>4</v>
      </c>
      <c r="H511" s="11">
        <v>2200</v>
      </c>
      <c r="I511" s="11">
        <v>0</v>
      </c>
      <c r="J511" s="11">
        <v>8800</v>
      </c>
      <c r="K511" s="11">
        <v>5788.03</v>
      </c>
      <c r="L511" s="11">
        <v>3011.97</v>
      </c>
      <c r="M511" s="11" t="s">
        <v>36</v>
      </c>
      <c r="N511" s="11" t="s">
        <v>23</v>
      </c>
      <c r="O511" s="11" t="s">
        <v>24</v>
      </c>
      <c r="P511" s="11" t="s">
        <v>25</v>
      </c>
      <c r="Q511" s="11" t="s">
        <v>47</v>
      </c>
    </row>
    <row r="512" spans="1:17" x14ac:dyDescent="0.25">
      <c r="A512" s="11" t="s">
        <v>1001</v>
      </c>
      <c r="B512" s="12">
        <v>46003</v>
      </c>
      <c r="C512" s="11" t="s">
        <v>73</v>
      </c>
      <c r="D512" s="11" t="s">
        <v>74</v>
      </c>
      <c r="E512" s="11" t="s">
        <v>116</v>
      </c>
      <c r="F512" s="11" t="s">
        <v>94</v>
      </c>
      <c r="G512" s="11">
        <v>5</v>
      </c>
      <c r="H512" s="11">
        <v>1800</v>
      </c>
      <c r="I512" s="13">
        <v>0.05</v>
      </c>
      <c r="J512" s="11">
        <v>8550</v>
      </c>
      <c r="K512" s="11">
        <v>6345.26</v>
      </c>
      <c r="L512" s="11">
        <v>2204.7399999999998</v>
      </c>
      <c r="M512" s="11" t="s">
        <v>99</v>
      </c>
      <c r="N512" s="11" t="s">
        <v>71</v>
      </c>
      <c r="O512" s="11" t="s">
        <v>32</v>
      </c>
      <c r="P512" s="11" t="s">
        <v>95</v>
      </c>
      <c r="Q512" s="11" t="s">
        <v>26</v>
      </c>
    </row>
    <row r="513" spans="1:17" x14ac:dyDescent="0.25">
      <c r="A513" s="11" t="s">
        <v>1002</v>
      </c>
      <c r="B513" s="12">
        <v>46000</v>
      </c>
      <c r="C513" s="11" t="s">
        <v>730</v>
      </c>
      <c r="D513" s="11" t="s">
        <v>731</v>
      </c>
      <c r="E513" s="11" t="s">
        <v>41</v>
      </c>
      <c r="F513" s="11" t="s">
        <v>42</v>
      </c>
      <c r="G513" s="11">
        <v>4</v>
      </c>
      <c r="H513" s="11">
        <v>7500</v>
      </c>
      <c r="I513" s="11">
        <v>0.1</v>
      </c>
      <c r="J513" s="11">
        <v>27000</v>
      </c>
      <c r="K513" s="11">
        <v>23543.95</v>
      </c>
      <c r="L513" s="11">
        <v>3456.05</v>
      </c>
      <c r="M513" s="11" t="s">
        <v>75</v>
      </c>
      <c r="N513" s="11" t="s">
        <v>76</v>
      </c>
      <c r="O513" s="11" t="s">
        <v>24</v>
      </c>
      <c r="P513" s="11" t="s">
        <v>55</v>
      </c>
      <c r="Q513" s="11" t="s">
        <v>60</v>
      </c>
    </row>
    <row r="514" spans="1:17" x14ac:dyDescent="0.25">
      <c r="A514" s="11" t="s">
        <v>1003</v>
      </c>
      <c r="B514" s="12">
        <v>45803</v>
      </c>
      <c r="C514" s="11" t="s">
        <v>426</v>
      </c>
      <c r="D514" s="11" t="s">
        <v>427</v>
      </c>
      <c r="E514" s="11" t="s">
        <v>62</v>
      </c>
      <c r="F514" s="11" t="s">
        <v>21</v>
      </c>
      <c r="G514" s="11">
        <v>1</v>
      </c>
      <c r="H514" s="11">
        <v>1800</v>
      </c>
      <c r="I514" s="11">
        <v>0.2</v>
      </c>
      <c r="J514" s="11">
        <v>1440</v>
      </c>
      <c r="K514" s="11">
        <v>1568.8</v>
      </c>
      <c r="L514" s="11">
        <v>-128.80000000000001</v>
      </c>
      <c r="M514" s="11" t="s">
        <v>59</v>
      </c>
      <c r="N514" s="11" t="s">
        <v>59</v>
      </c>
      <c r="O514" s="11" t="s">
        <v>45</v>
      </c>
      <c r="P514" s="11" t="s">
        <v>95</v>
      </c>
      <c r="Q514" s="11" t="s">
        <v>47</v>
      </c>
    </row>
    <row r="515" spans="1:17" x14ac:dyDescent="0.25">
      <c r="A515" s="11" t="s">
        <v>1004</v>
      </c>
      <c r="B515" s="12">
        <v>45952</v>
      </c>
      <c r="C515" s="11" t="s">
        <v>236</v>
      </c>
      <c r="D515" s="11" t="s">
        <v>237</v>
      </c>
      <c r="E515" s="11" t="s">
        <v>112</v>
      </c>
      <c r="F515" s="11" t="s">
        <v>94</v>
      </c>
      <c r="G515" s="11">
        <v>4</v>
      </c>
      <c r="H515" s="11">
        <v>800</v>
      </c>
      <c r="I515" s="11">
        <v>0.15</v>
      </c>
      <c r="J515" s="11">
        <v>2720</v>
      </c>
      <c r="K515" s="11">
        <v>2208.83</v>
      </c>
      <c r="L515" s="11">
        <v>511.17</v>
      </c>
      <c r="M515" s="11" t="s">
        <v>99</v>
      </c>
      <c r="N515" s="11" t="s">
        <v>71</v>
      </c>
      <c r="O515" s="11" t="s">
        <v>24</v>
      </c>
      <c r="P515" s="11" t="s">
        <v>55</v>
      </c>
      <c r="Q515" s="11" t="s">
        <v>47</v>
      </c>
    </row>
    <row r="516" spans="1:17" x14ac:dyDescent="0.25">
      <c r="A516" s="11" t="s">
        <v>1005</v>
      </c>
      <c r="B516" s="12">
        <v>45832</v>
      </c>
      <c r="C516" s="11" t="s">
        <v>437</v>
      </c>
      <c r="D516" s="11" t="s">
        <v>438</v>
      </c>
      <c r="E516" s="11" t="s">
        <v>62</v>
      </c>
      <c r="F516" s="11" t="s">
        <v>21</v>
      </c>
      <c r="G516" s="11">
        <v>5</v>
      </c>
      <c r="H516" s="11">
        <v>1800</v>
      </c>
      <c r="I516" s="11">
        <v>0.1</v>
      </c>
      <c r="J516" s="11">
        <v>8100</v>
      </c>
      <c r="K516" s="11">
        <v>6912.5</v>
      </c>
      <c r="L516" s="11">
        <v>1187.5</v>
      </c>
      <c r="M516" s="11" t="s">
        <v>43</v>
      </c>
      <c r="N516" s="11" t="s">
        <v>44</v>
      </c>
      <c r="O516" s="11" t="s">
        <v>45</v>
      </c>
      <c r="P516" s="11" t="s">
        <v>25</v>
      </c>
      <c r="Q516" s="11" t="s">
        <v>47</v>
      </c>
    </row>
    <row r="517" spans="1:17" x14ac:dyDescent="0.25">
      <c r="A517" s="11" t="s">
        <v>1006</v>
      </c>
      <c r="B517" s="12">
        <v>45946</v>
      </c>
      <c r="C517" s="11" t="s">
        <v>694</v>
      </c>
      <c r="D517" s="11" t="s">
        <v>695</v>
      </c>
      <c r="E517" s="11" t="s">
        <v>41</v>
      </c>
      <c r="F517" s="11" t="s">
        <v>42</v>
      </c>
      <c r="G517" s="11">
        <v>4</v>
      </c>
      <c r="H517" s="11">
        <v>7500</v>
      </c>
      <c r="I517" s="11">
        <v>0.15</v>
      </c>
      <c r="J517" s="11">
        <v>25500</v>
      </c>
      <c r="K517" s="11">
        <v>21178.59</v>
      </c>
      <c r="L517" s="11">
        <v>4321.41</v>
      </c>
      <c r="M517" s="11" t="s">
        <v>70</v>
      </c>
      <c r="N517" s="11" t="s">
        <v>71</v>
      </c>
      <c r="O517" s="11" t="s">
        <v>45</v>
      </c>
      <c r="P517" s="11" t="s">
        <v>37</v>
      </c>
      <c r="Q517" s="11" t="s">
        <v>60</v>
      </c>
    </row>
    <row r="518" spans="1:17" x14ac:dyDescent="0.25">
      <c r="A518" s="11" t="s">
        <v>1007</v>
      </c>
      <c r="B518" s="12">
        <v>45904</v>
      </c>
      <c r="C518" s="11" t="s">
        <v>236</v>
      </c>
      <c r="D518" s="11" t="s">
        <v>237</v>
      </c>
      <c r="E518" s="11" t="s">
        <v>131</v>
      </c>
      <c r="F518" s="11" t="s">
        <v>21</v>
      </c>
      <c r="G518" s="11">
        <v>5</v>
      </c>
      <c r="H518" s="11">
        <v>1600</v>
      </c>
      <c r="I518" s="11">
        <v>0</v>
      </c>
      <c r="J518" s="11">
        <v>8000</v>
      </c>
      <c r="K518" s="11">
        <v>5324.3</v>
      </c>
      <c r="L518" s="11">
        <v>2675.7</v>
      </c>
      <c r="M518" s="11" t="s">
        <v>43</v>
      </c>
      <c r="N518" s="11" t="s">
        <v>44</v>
      </c>
      <c r="O518" s="11" t="s">
        <v>24</v>
      </c>
      <c r="P518" s="11" t="s">
        <v>95</v>
      </c>
      <c r="Q518" s="11" t="s">
        <v>60</v>
      </c>
    </row>
    <row r="519" spans="1:17" x14ac:dyDescent="0.25">
      <c r="A519" s="11" t="s">
        <v>1008</v>
      </c>
      <c r="B519" s="12">
        <v>45838</v>
      </c>
      <c r="C519" s="11" t="s">
        <v>1009</v>
      </c>
      <c r="D519" s="11" t="s">
        <v>1010</v>
      </c>
      <c r="E519" s="11" t="s">
        <v>116</v>
      </c>
      <c r="F519" s="11" t="s">
        <v>94</v>
      </c>
      <c r="G519" s="11">
        <v>3</v>
      </c>
      <c r="H519" s="11">
        <v>1800</v>
      </c>
      <c r="I519" s="13">
        <v>0.15</v>
      </c>
      <c r="J519" s="11">
        <v>4590</v>
      </c>
      <c r="K519" s="11">
        <v>4543.5600000000004</v>
      </c>
      <c r="L519" s="11">
        <v>46.44</v>
      </c>
      <c r="M519" s="11" t="s">
        <v>99</v>
      </c>
      <c r="N519" s="11" t="s">
        <v>71</v>
      </c>
      <c r="O519" s="11" t="s">
        <v>32</v>
      </c>
      <c r="P519" s="11" t="s">
        <v>46</v>
      </c>
      <c r="Q519" s="11" t="s">
        <v>26</v>
      </c>
    </row>
    <row r="520" spans="1:17" x14ac:dyDescent="0.25">
      <c r="A520" s="11" t="s">
        <v>1011</v>
      </c>
      <c r="B520" s="12">
        <v>45941</v>
      </c>
      <c r="C520" s="11" t="s">
        <v>205</v>
      </c>
      <c r="D520" s="11" t="s">
        <v>206</v>
      </c>
      <c r="E520" s="11" t="s">
        <v>85</v>
      </c>
      <c r="F520" s="11" t="s">
        <v>86</v>
      </c>
      <c r="G520" s="11">
        <v>3</v>
      </c>
      <c r="H520" s="11">
        <v>450</v>
      </c>
      <c r="I520" s="13">
        <v>0</v>
      </c>
      <c r="J520" s="11">
        <v>1350</v>
      </c>
      <c r="K520" s="11">
        <v>974.96</v>
      </c>
      <c r="L520" s="11">
        <v>375.04</v>
      </c>
      <c r="M520" s="11" t="s">
        <v>80</v>
      </c>
      <c r="N520" s="11" t="s">
        <v>81</v>
      </c>
      <c r="O520" s="11" t="s">
        <v>32</v>
      </c>
      <c r="P520" s="11" t="s">
        <v>25</v>
      </c>
      <c r="Q520" s="11" t="s">
        <v>26</v>
      </c>
    </row>
    <row r="521" spans="1:17" x14ac:dyDescent="0.25">
      <c r="A521" s="11" t="s">
        <v>1012</v>
      </c>
      <c r="B521" s="12">
        <v>45760</v>
      </c>
      <c r="C521" s="11" t="s">
        <v>963</v>
      </c>
      <c r="D521" s="11" t="s">
        <v>964</v>
      </c>
      <c r="E521" s="11" t="s">
        <v>93</v>
      </c>
      <c r="F521" s="11" t="s">
        <v>94</v>
      </c>
      <c r="G521" s="11">
        <v>2</v>
      </c>
      <c r="H521" s="11">
        <v>2800</v>
      </c>
      <c r="I521" s="11">
        <v>0.15</v>
      </c>
      <c r="J521" s="11">
        <v>4760</v>
      </c>
      <c r="K521" s="11">
        <v>3951.77</v>
      </c>
      <c r="L521" s="11">
        <v>808.23</v>
      </c>
      <c r="M521" s="11" t="s">
        <v>22</v>
      </c>
      <c r="N521" s="11" t="s">
        <v>23</v>
      </c>
      <c r="O521" s="11" t="s">
        <v>45</v>
      </c>
      <c r="P521" s="11" t="s">
        <v>95</v>
      </c>
      <c r="Q521" s="11" t="s">
        <v>26</v>
      </c>
    </row>
    <row r="522" spans="1:17" x14ac:dyDescent="0.25">
      <c r="A522" s="11" t="s">
        <v>1013</v>
      </c>
      <c r="B522" s="12">
        <v>45840</v>
      </c>
      <c r="C522" s="11" t="s">
        <v>1014</v>
      </c>
      <c r="D522" s="11" t="s">
        <v>1015</v>
      </c>
      <c r="E522" s="11" t="s">
        <v>112</v>
      </c>
      <c r="F522" s="11" t="s">
        <v>94</v>
      </c>
      <c r="G522" s="11">
        <v>2</v>
      </c>
      <c r="H522" s="11">
        <v>800</v>
      </c>
      <c r="I522" s="13">
        <v>0.2</v>
      </c>
      <c r="J522" s="11">
        <v>1280</v>
      </c>
      <c r="K522" s="11">
        <v>1079.26</v>
      </c>
      <c r="L522" s="11">
        <v>200.74</v>
      </c>
      <c r="M522" s="11" t="s">
        <v>80</v>
      </c>
      <c r="N522" s="11" t="s">
        <v>81</v>
      </c>
      <c r="O522" s="11" t="s">
        <v>32</v>
      </c>
      <c r="P522" s="11" t="s">
        <v>37</v>
      </c>
      <c r="Q522" s="11" t="s">
        <v>47</v>
      </c>
    </row>
    <row r="523" spans="1:17" x14ac:dyDescent="0.25">
      <c r="A523" s="11" t="s">
        <v>1016</v>
      </c>
      <c r="B523" s="12">
        <v>45904</v>
      </c>
      <c r="C523" s="11" t="s">
        <v>1017</v>
      </c>
      <c r="D523" s="11" t="s">
        <v>1018</v>
      </c>
      <c r="E523" s="11" t="s">
        <v>158</v>
      </c>
      <c r="F523" s="11" t="s">
        <v>21</v>
      </c>
      <c r="G523" s="11">
        <v>5</v>
      </c>
      <c r="H523" s="11">
        <v>55000</v>
      </c>
      <c r="I523" s="11">
        <v>0</v>
      </c>
      <c r="J523" s="11">
        <v>275000</v>
      </c>
      <c r="K523" s="11">
        <v>198700.12</v>
      </c>
      <c r="L523" s="11">
        <v>76299.88</v>
      </c>
      <c r="M523" s="11" t="s">
        <v>59</v>
      </c>
      <c r="N523" s="11" t="s">
        <v>59</v>
      </c>
      <c r="O523" s="11" t="s">
        <v>24</v>
      </c>
      <c r="P523" s="11" t="s">
        <v>46</v>
      </c>
      <c r="Q523" s="11" t="s">
        <v>26</v>
      </c>
    </row>
    <row r="524" spans="1:17" x14ac:dyDescent="0.25">
      <c r="A524" s="11" t="s">
        <v>1019</v>
      </c>
      <c r="B524" s="12">
        <v>45861</v>
      </c>
      <c r="C524" s="11" t="s">
        <v>263</v>
      </c>
      <c r="D524" s="11" t="s">
        <v>264</v>
      </c>
      <c r="E524" s="11" t="s">
        <v>93</v>
      </c>
      <c r="F524" s="11" t="s">
        <v>94</v>
      </c>
      <c r="G524" s="11">
        <v>5</v>
      </c>
      <c r="H524" s="11">
        <v>2800</v>
      </c>
      <c r="I524" s="13">
        <v>0.1</v>
      </c>
      <c r="J524" s="11">
        <v>12600</v>
      </c>
      <c r="K524" s="11">
        <v>10956.86</v>
      </c>
      <c r="L524" s="11">
        <v>1643.14</v>
      </c>
      <c r="M524" s="11" t="s">
        <v>22</v>
      </c>
      <c r="N524" s="11" t="s">
        <v>23</v>
      </c>
      <c r="O524" s="11" t="s">
        <v>32</v>
      </c>
      <c r="P524" s="11" t="s">
        <v>25</v>
      </c>
      <c r="Q524" s="11" t="s">
        <v>26</v>
      </c>
    </row>
    <row r="525" spans="1:17" x14ac:dyDescent="0.25">
      <c r="A525" s="11" t="s">
        <v>1020</v>
      </c>
      <c r="B525" s="12">
        <v>45915</v>
      </c>
      <c r="C525" s="11" t="s">
        <v>1021</v>
      </c>
      <c r="D525" s="11" t="s">
        <v>1022</v>
      </c>
      <c r="E525" s="11" t="s">
        <v>123</v>
      </c>
      <c r="F525" s="11" t="s">
        <v>21</v>
      </c>
      <c r="G525" s="11">
        <v>5</v>
      </c>
      <c r="H525" s="11">
        <v>2200</v>
      </c>
      <c r="I525" s="13">
        <v>0</v>
      </c>
      <c r="J525" s="11">
        <v>11000</v>
      </c>
      <c r="K525" s="11">
        <v>9326.81</v>
      </c>
      <c r="L525" s="11">
        <v>1673.19</v>
      </c>
      <c r="M525" s="11" t="s">
        <v>59</v>
      </c>
      <c r="N525" s="11" t="s">
        <v>59</v>
      </c>
      <c r="O525" s="11" t="s">
        <v>32</v>
      </c>
      <c r="P525" s="11" t="s">
        <v>37</v>
      </c>
      <c r="Q525" s="11" t="s">
        <v>26</v>
      </c>
    </row>
    <row r="526" spans="1:17" x14ac:dyDescent="0.25">
      <c r="A526" s="11" t="s">
        <v>1023</v>
      </c>
      <c r="B526" s="12">
        <v>45664</v>
      </c>
      <c r="C526" s="11" t="s">
        <v>178</v>
      </c>
      <c r="D526" s="11" t="s">
        <v>179</v>
      </c>
      <c r="E526" s="11" t="s">
        <v>131</v>
      </c>
      <c r="F526" s="11" t="s">
        <v>21</v>
      </c>
      <c r="G526" s="11">
        <v>3</v>
      </c>
      <c r="H526" s="11">
        <v>1600</v>
      </c>
      <c r="I526" s="11">
        <v>0</v>
      </c>
      <c r="J526" s="11">
        <v>4800</v>
      </c>
      <c r="K526" s="11">
        <v>3761.43</v>
      </c>
      <c r="L526" s="11">
        <v>1038.57</v>
      </c>
      <c r="M526" s="11" t="s">
        <v>22</v>
      </c>
      <c r="N526" s="11" t="s">
        <v>23</v>
      </c>
      <c r="O526" s="11" t="s">
        <v>45</v>
      </c>
      <c r="P526" s="11" t="s">
        <v>46</v>
      </c>
      <c r="Q526" s="11" t="s">
        <v>47</v>
      </c>
    </row>
    <row r="527" spans="1:17" x14ac:dyDescent="0.25">
      <c r="A527" s="11" t="s">
        <v>1024</v>
      </c>
      <c r="B527" s="12">
        <v>45792</v>
      </c>
      <c r="C527" s="11" t="s">
        <v>633</v>
      </c>
      <c r="D527" s="11" t="s">
        <v>634</v>
      </c>
      <c r="E527" s="11" t="s">
        <v>41</v>
      </c>
      <c r="F527" s="11" t="s">
        <v>42</v>
      </c>
      <c r="G527" s="11">
        <v>2</v>
      </c>
      <c r="H527" s="11">
        <v>7500</v>
      </c>
      <c r="I527" s="11">
        <v>0.2</v>
      </c>
      <c r="J527" s="11">
        <v>12000</v>
      </c>
      <c r="K527" s="11">
        <v>11376.14</v>
      </c>
      <c r="L527" s="11">
        <v>623.86</v>
      </c>
      <c r="M527" s="11" t="s">
        <v>22</v>
      </c>
      <c r="N527" s="11" t="s">
        <v>23</v>
      </c>
      <c r="O527" s="11" t="s">
        <v>24</v>
      </c>
      <c r="P527" s="11" t="s">
        <v>46</v>
      </c>
      <c r="Q527" s="11" t="s">
        <v>26</v>
      </c>
    </row>
    <row r="528" spans="1:17" x14ac:dyDescent="0.25">
      <c r="A528" s="11" t="s">
        <v>1025</v>
      </c>
      <c r="B528" s="12">
        <v>45765</v>
      </c>
      <c r="C528" s="11" t="s">
        <v>1009</v>
      </c>
      <c r="D528" s="11" t="s">
        <v>1010</v>
      </c>
      <c r="E528" s="11" t="s">
        <v>93</v>
      </c>
      <c r="F528" s="11" t="s">
        <v>94</v>
      </c>
      <c r="G528" s="11">
        <v>4</v>
      </c>
      <c r="H528" s="11">
        <v>2800</v>
      </c>
      <c r="I528" s="11">
        <v>0.15</v>
      </c>
      <c r="J528" s="11">
        <v>9520</v>
      </c>
      <c r="K528" s="11">
        <v>9217.66</v>
      </c>
      <c r="L528" s="11">
        <v>302.33999999999997</v>
      </c>
      <c r="M528" s="11" t="s">
        <v>75</v>
      </c>
      <c r="N528" s="11" t="s">
        <v>76</v>
      </c>
      <c r="O528" s="11" t="s">
        <v>45</v>
      </c>
      <c r="P528" s="11" t="s">
        <v>37</v>
      </c>
      <c r="Q528" s="11" t="s">
        <v>26</v>
      </c>
    </row>
    <row r="529" spans="1:17" x14ac:dyDescent="0.25">
      <c r="A529" s="11" t="s">
        <v>1026</v>
      </c>
      <c r="B529" s="12">
        <v>45725</v>
      </c>
      <c r="C529" s="11" t="s">
        <v>312</v>
      </c>
      <c r="D529" s="11" t="s">
        <v>313</v>
      </c>
      <c r="E529" s="11" t="s">
        <v>131</v>
      </c>
      <c r="F529" s="11" t="s">
        <v>21</v>
      </c>
      <c r="G529" s="11">
        <v>2</v>
      </c>
      <c r="H529" s="11">
        <v>1600</v>
      </c>
      <c r="I529" s="11">
        <v>0.2</v>
      </c>
      <c r="J529" s="11">
        <v>2560</v>
      </c>
      <c r="K529" s="11">
        <v>2153.5</v>
      </c>
      <c r="L529" s="11">
        <v>406.5</v>
      </c>
      <c r="M529" s="11" t="s">
        <v>22</v>
      </c>
      <c r="N529" s="11" t="s">
        <v>23</v>
      </c>
      <c r="O529" s="11" t="s">
        <v>45</v>
      </c>
      <c r="P529" s="11" t="s">
        <v>95</v>
      </c>
      <c r="Q529" s="11" t="s">
        <v>47</v>
      </c>
    </row>
    <row r="530" spans="1:17" x14ac:dyDescent="0.25">
      <c r="A530" s="11" t="s">
        <v>1027</v>
      </c>
      <c r="B530" s="12">
        <v>45732</v>
      </c>
      <c r="C530" s="11" t="s">
        <v>205</v>
      </c>
      <c r="D530" s="11" t="s">
        <v>206</v>
      </c>
      <c r="E530" s="11" t="s">
        <v>30</v>
      </c>
      <c r="F530" s="11" t="s">
        <v>31</v>
      </c>
      <c r="G530" s="11">
        <v>4</v>
      </c>
      <c r="H530" s="11">
        <v>1200</v>
      </c>
      <c r="I530" s="13">
        <v>0.05</v>
      </c>
      <c r="J530" s="11">
        <v>4560</v>
      </c>
      <c r="K530" s="11">
        <v>4009.46</v>
      </c>
      <c r="L530" s="11">
        <v>550.54</v>
      </c>
      <c r="M530" s="11" t="s">
        <v>80</v>
      </c>
      <c r="N530" s="11" t="s">
        <v>81</v>
      </c>
      <c r="O530" s="11" t="s">
        <v>32</v>
      </c>
      <c r="P530" s="11" t="s">
        <v>37</v>
      </c>
      <c r="Q530" s="11" t="s">
        <v>26</v>
      </c>
    </row>
    <row r="531" spans="1:17" x14ac:dyDescent="0.25">
      <c r="A531" s="11" t="s">
        <v>1028</v>
      </c>
      <c r="B531" s="12">
        <v>45819</v>
      </c>
      <c r="C531" s="11" t="s">
        <v>536</v>
      </c>
      <c r="D531" s="11" t="s">
        <v>537</v>
      </c>
      <c r="E531" s="11" t="s">
        <v>107</v>
      </c>
      <c r="F531" s="11" t="s">
        <v>108</v>
      </c>
      <c r="G531" s="11">
        <v>5</v>
      </c>
      <c r="H531" s="11">
        <v>1400</v>
      </c>
      <c r="I531" s="11">
        <v>0.2</v>
      </c>
      <c r="J531" s="11">
        <v>5600</v>
      </c>
      <c r="K531" s="11">
        <v>4954.07</v>
      </c>
      <c r="L531" s="11">
        <v>645.92999999999995</v>
      </c>
      <c r="M531" s="11" t="s">
        <v>70</v>
      </c>
      <c r="N531" s="11" t="s">
        <v>71</v>
      </c>
      <c r="O531" s="11" t="s">
        <v>24</v>
      </c>
      <c r="P531" s="11" t="s">
        <v>55</v>
      </c>
      <c r="Q531" s="11" t="s">
        <v>26</v>
      </c>
    </row>
    <row r="532" spans="1:17" x14ac:dyDescent="0.25">
      <c r="A532" s="11" t="s">
        <v>1029</v>
      </c>
      <c r="B532" s="12">
        <v>45768</v>
      </c>
      <c r="C532" s="11" t="s">
        <v>205</v>
      </c>
      <c r="D532" s="11" t="s">
        <v>206</v>
      </c>
      <c r="E532" s="11" t="s">
        <v>20</v>
      </c>
      <c r="F532" s="11" t="s">
        <v>21</v>
      </c>
      <c r="G532" s="11">
        <v>2</v>
      </c>
      <c r="H532" s="11">
        <v>4500</v>
      </c>
      <c r="I532" s="13">
        <v>0</v>
      </c>
      <c r="J532" s="11">
        <v>9000</v>
      </c>
      <c r="K532" s="11">
        <v>7586.67</v>
      </c>
      <c r="L532" s="11">
        <v>1413.33</v>
      </c>
      <c r="M532" s="11" t="s">
        <v>36</v>
      </c>
      <c r="N532" s="11" t="s">
        <v>23</v>
      </c>
      <c r="O532" s="11" t="s">
        <v>32</v>
      </c>
      <c r="P532" s="11" t="s">
        <v>37</v>
      </c>
      <c r="Q532" s="11" t="s">
        <v>60</v>
      </c>
    </row>
    <row r="533" spans="1:17" x14ac:dyDescent="0.25">
      <c r="A533" s="11" t="s">
        <v>1030</v>
      </c>
      <c r="B533" s="12">
        <v>45842</v>
      </c>
      <c r="C533" s="11" t="s">
        <v>426</v>
      </c>
      <c r="D533" s="11" t="s">
        <v>427</v>
      </c>
      <c r="E533" s="11" t="s">
        <v>66</v>
      </c>
      <c r="F533" s="11" t="s">
        <v>31</v>
      </c>
      <c r="G533" s="11">
        <v>3</v>
      </c>
      <c r="H533" s="11">
        <v>3500</v>
      </c>
      <c r="I533" s="13">
        <v>0.1</v>
      </c>
      <c r="J533" s="11">
        <v>9450</v>
      </c>
      <c r="K533" s="11">
        <v>6872.9</v>
      </c>
      <c r="L533" s="11">
        <v>2577.1</v>
      </c>
      <c r="M533" s="11" t="s">
        <v>36</v>
      </c>
      <c r="N533" s="11" t="s">
        <v>23</v>
      </c>
      <c r="O533" s="11" t="s">
        <v>32</v>
      </c>
      <c r="P533" s="11" t="s">
        <v>46</v>
      </c>
      <c r="Q533" s="11" t="s">
        <v>60</v>
      </c>
    </row>
    <row r="534" spans="1:17" x14ac:dyDescent="0.25">
      <c r="A534" s="11" t="s">
        <v>1031</v>
      </c>
      <c r="B534" s="12">
        <v>45990</v>
      </c>
      <c r="C534" s="11" t="s">
        <v>1014</v>
      </c>
      <c r="D534" s="11" t="s">
        <v>1015</v>
      </c>
      <c r="E534" s="11" t="s">
        <v>112</v>
      </c>
      <c r="F534" s="11" t="s">
        <v>94</v>
      </c>
      <c r="G534" s="11">
        <v>5</v>
      </c>
      <c r="H534" s="11">
        <v>800</v>
      </c>
      <c r="I534" s="11">
        <v>0.2</v>
      </c>
      <c r="J534" s="11">
        <v>3200</v>
      </c>
      <c r="K534" s="11">
        <v>2861.84</v>
      </c>
      <c r="L534" s="11">
        <v>338.16</v>
      </c>
      <c r="M534" s="11" t="s">
        <v>80</v>
      </c>
      <c r="N534" s="11" t="s">
        <v>81</v>
      </c>
      <c r="O534" s="11" t="s">
        <v>45</v>
      </c>
      <c r="P534" s="11" t="s">
        <v>25</v>
      </c>
      <c r="Q534" s="11" t="s">
        <v>26</v>
      </c>
    </row>
    <row r="535" spans="1:17" x14ac:dyDescent="0.25">
      <c r="A535" s="11" t="s">
        <v>1032</v>
      </c>
      <c r="B535" s="12">
        <v>45972</v>
      </c>
      <c r="C535" s="11" t="s">
        <v>454</v>
      </c>
      <c r="D535" s="11" t="s">
        <v>455</v>
      </c>
      <c r="E535" s="11" t="s">
        <v>131</v>
      </c>
      <c r="F535" s="11" t="s">
        <v>21</v>
      </c>
      <c r="G535" s="11">
        <v>1</v>
      </c>
      <c r="H535" s="11">
        <v>1600</v>
      </c>
      <c r="I535" s="13">
        <v>0.15</v>
      </c>
      <c r="J535" s="11">
        <v>1360</v>
      </c>
      <c r="K535" s="11">
        <v>1272.47</v>
      </c>
      <c r="L535" s="11">
        <v>87.53</v>
      </c>
      <c r="M535" s="11" t="s">
        <v>36</v>
      </c>
      <c r="N535" s="11" t="s">
        <v>23</v>
      </c>
      <c r="O535" s="11" t="s">
        <v>32</v>
      </c>
      <c r="P535" s="11" t="s">
        <v>95</v>
      </c>
      <c r="Q535" s="11" t="s">
        <v>60</v>
      </c>
    </row>
    <row r="536" spans="1:17" x14ac:dyDescent="0.25">
      <c r="A536" s="11" t="s">
        <v>1033</v>
      </c>
      <c r="B536" s="12">
        <v>45950</v>
      </c>
      <c r="C536" s="11" t="s">
        <v>957</v>
      </c>
      <c r="D536" s="11" t="s">
        <v>958</v>
      </c>
      <c r="E536" s="11" t="s">
        <v>66</v>
      </c>
      <c r="F536" s="11" t="s">
        <v>31</v>
      </c>
      <c r="G536" s="11">
        <v>4</v>
      </c>
      <c r="H536" s="11">
        <v>3500</v>
      </c>
      <c r="I536" s="13">
        <v>0.2</v>
      </c>
      <c r="J536" s="11">
        <v>11200</v>
      </c>
      <c r="K536" s="11">
        <v>12020.78</v>
      </c>
      <c r="L536" s="11">
        <v>-820.78</v>
      </c>
      <c r="M536" s="11" t="s">
        <v>75</v>
      </c>
      <c r="N536" s="11" t="s">
        <v>76</v>
      </c>
      <c r="O536" s="11" t="s">
        <v>32</v>
      </c>
      <c r="P536" s="11" t="s">
        <v>95</v>
      </c>
      <c r="Q536" s="11" t="s">
        <v>26</v>
      </c>
    </row>
    <row r="537" spans="1:17" x14ac:dyDescent="0.25">
      <c r="A537" s="11" t="s">
        <v>1034</v>
      </c>
      <c r="B537" s="12">
        <v>45992</v>
      </c>
      <c r="C537" s="11" t="s">
        <v>257</v>
      </c>
      <c r="D537" s="11" t="s">
        <v>258</v>
      </c>
      <c r="E537" s="11" t="s">
        <v>116</v>
      </c>
      <c r="F537" s="11" t="s">
        <v>94</v>
      </c>
      <c r="G537" s="11">
        <v>3</v>
      </c>
      <c r="H537" s="11">
        <v>1800</v>
      </c>
      <c r="I537" s="11">
        <v>0.1</v>
      </c>
      <c r="J537" s="11">
        <v>4860</v>
      </c>
      <c r="K537" s="11">
        <v>3842.2</v>
      </c>
      <c r="L537" s="11">
        <v>1017.8</v>
      </c>
      <c r="M537" s="11" t="s">
        <v>36</v>
      </c>
      <c r="N537" s="11" t="s">
        <v>23</v>
      </c>
      <c r="O537" s="11" t="s">
        <v>24</v>
      </c>
      <c r="P537" s="11" t="s">
        <v>37</v>
      </c>
      <c r="Q537" s="11" t="s">
        <v>26</v>
      </c>
    </row>
    <row r="538" spans="1:17" x14ac:dyDescent="0.25">
      <c r="A538" s="11" t="s">
        <v>1035</v>
      </c>
      <c r="B538" s="12">
        <v>45924</v>
      </c>
      <c r="C538" s="11" t="s">
        <v>1036</v>
      </c>
      <c r="D538" s="11" t="s">
        <v>1037</v>
      </c>
      <c r="E538" s="11" t="s">
        <v>131</v>
      </c>
      <c r="F538" s="11" t="s">
        <v>21</v>
      </c>
      <c r="G538" s="11">
        <v>3</v>
      </c>
      <c r="H538" s="11">
        <v>1600</v>
      </c>
      <c r="I538" s="13">
        <v>0.2</v>
      </c>
      <c r="J538" s="11">
        <v>3840</v>
      </c>
      <c r="K538" s="11">
        <v>3304.72</v>
      </c>
      <c r="L538" s="11">
        <v>535.28</v>
      </c>
      <c r="M538" s="11" t="s">
        <v>70</v>
      </c>
      <c r="N538" s="11" t="s">
        <v>71</v>
      </c>
      <c r="O538" s="11" t="s">
        <v>32</v>
      </c>
      <c r="P538" s="11" t="s">
        <v>95</v>
      </c>
      <c r="Q538" s="11" t="s">
        <v>60</v>
      </c>
    </row>
    <row r="539" spans="1:17" x14ac:dyDescent="0.25">
      <c r="A539" s="11" t="s">
        <v>1038</v>
      </c>
      <c r="B539" s="12">
        <v>45765</v>
      </c>
      <c r="C539" s="11" t="s">
        <v>149</v>
      </c>
      <c r="D539" s="11" t="s">
        <v>150</v>
      </c>
      <c r="E539" s="11" t="s">
        <v>116</v>
      </c>
      <c r="F539" s="11" t="s">
        <v>94</v>
      </c>
      <c r="G539" s="11">
        <v>3</v>
      </c>
      <c r="H539" s="11">
        <v>1800</v>
      </c>
      <c r="I539" s="13">
        <v>0</v>
      </c>
      <c r="J539" s="11">
        <v>5400</v>
      </c>
      <c r="K539" s="11">
        <v>3637.94</v>
      </c>
      <c r="L539" s="11">
        <v>1762.06</v>
      </c>
      <c r="M539" s="11" t="s">
        <v>80</v>
      </c>
      <c r="N539" s="11" t="s">
        <v>81</v>
      </c>
      <c r="O539" s="11" t="s">
        <v>32</v>
      </c>
      <c r="P539" s="11" t="s">
        <v>37</v>
      </c>
      <c r="Q539" s="11" t="s">
        <v>47</v>
      </c>
    </row>
    <row r="540" spans="1:17" x14ac:dyDescent="0.25">
      <c r="A540" s="11" t="s">
        <v>1039</v>
      </c>
      <c r="B540" s="12">
        <v>45926</v>
      </c>
      <c r="C540" s="11" t="s">
        <v>251</v>
      </c>
      <c r="D540" s="11" t="s">
        <v>252</v>
      </c>
      <c r="E540" s="11" t="s">
        <v>141</v>
      </c>
      <c r="F540" s="11" t="s">
        <v>21</v>
      </c>
      <c r="G540" s="11">
        <v>1</v>
      </c>
      <c r="H540" s="11">
        <v>22000</v>
      </c>
      <c r="I540" s="13">
        <v>0.15</v>
      </c>
      <c r="J540" s="11">
        <v>18700</v>
      </c>
      <c r="K540" s="11">
        <v>15628.01</v>
      </c>
      <c r="L540" s="11">
        <v>3071.99</v>
      </c>
      <c r="M540" s="11" t="s">
        <v>43</v>
      </c>
      <c r="N540" s="11" t="s">
        <v>44</v>
      </c>
      <c r="O540" s="11" t="s">
        <v>32</v>
      </c>
      <c r="P540" s="11" t="s">
        <v>55</v>
      </c>
      <c r="Q540" s="11" t="s">
        <v>60</v>
      </c>
    </row>
    <row r="541" spans="1:17" x14ac:dyDescent="0.25">
      <c r="A541" s="11" t="s">
        <v>1040</v>
      </c>
      <c r="B541" s="12">
        <v>45784</v>
      </c>
      <c r="C541" s="11" t="s">
        <v>450</v>
      </c>
      <c r="D541" s="11" t="s">
        <v>451</v>
      </c>
      <c r="E541" s="11" t="s">
        <v>85</v>
      </c>
      <c r="F541" s="11" t="s">
        <v>86</v>
      </c>
      <c r="G541" s="11">
        <v>3</v>
      </c>
      <c r="H541" s="11">
        <v>450</v>
      </c>
      <c r="I541" s="13">
        <v>0.05</v>
      </c>
      <c r="J541" s="11">
        <v>1282.5</v>
      </c>
      <c r="K541" s="11">
        <v>1072.02</v>
      </c>
      <c r="L541" s="11">
        <v>210.48</v>
      </c>
      <c r="M541" s="11" t="s">
        <v>36</v>
      </c>
      <c r="N541" s="11" t="s">
        <v>23</v>
      </c>
      <c r="O541" s="11" t="s">
        <v>32</v>
      </c>
      <c r="P541" s="11" t="s">
        <v>25</v>
      </c>
      <c r="Q541" s="11" t="s">
        <v>26</v>
      </c>
    </row>
    <row r="542" spans="1:17" x14ac:dyDescent="0.25">
      <c r="A542" s="11" t="s">
        <v>1041</v>
      </c>
      <c r="B542" s="12">
        <v>45824</v>
      </c>
      <c r="C542" s="11" t="s">
        <v>524</v>
      </c>
      <c r="D542" s="11" t="s">
        <v>525</v>
      </c>
      <c r="E542" s="11" t="s">
        <v>158</v>
      </c>
      <c r="F542" s="11" t="s">
        <v>21</v>
      </c>
      <c r="G542" s="11">
        <v>1</v>
      </c>
      <c r="H542" s="11">
        <v>55000</v>
      </c>
      <c r="I542" s="11">
        <v>0.1</v>
      </c>
      <c r="J542" s="11">
        <v>49500</v>
      </c>
      <c r="K542" s="11">
        <v>48083.519999999997</v>
      </c>
      <c r="L542" s="11">
        <v>1416.48</v>
      </c>
      <c r="M542" s="11" t="s">
        <v>70</v>
      </c>
      <c r="N542" s="11" t="s">
        <v>71</v>
      </c>
      <c r="O542" s="11" t="s">
        <v>24</v>
      </c>
      <c r="P542" s="11" t="s">
        <v>46</v>
      </c>
      <c r="Q542" s="11" t="s">
        <v>47</v>
      </c>
    </row>
    <row r="543" spans="1:17" x14ac:dyDescent="0.25">
      <c r="A543" s="11" t="s">
        <v>1042</v>
      </c>
      <c r="B543" s="12">
        <v>45748</v>
      </c>
      <c r="C543" s="11" t="s">
        <v>487</v>
      </c>
      <c r="D543" s="11" t="s">
        <v>488</v>
      </c>
      <c r="E543" s="11" t="s">
        <v>131</v>
      </c>
      <c r="F543" s="11" t="s">
        <v>21</v>
      </c>
      <c r="G543" s="11">
        <v>2</v>
      </c>
      <c r="H543" s="11">
        <v>1600</v>
      </c>
      <c r="I543" s="11">
        <v>0.2</v>
      </c>
      <c r="J543" s="11">
        <v>2560</v>
      </c>
      <c r="K543" s="11">
        <v>2631.2</v>
      </c>
      <c r="L543" s="11">
        <v>-71.2</v>
      </c>
      <c r="M543" s="11" t="s">
        <v>70</v>
      </c>
      <c r="N543" s="11" t="s">
        <v>71</v>
      </c>
      <c r="O543" s="11" t="s">
        <v>24</v>
      </c>
      <c r="P543" s="11" t="s">
        <v>37</v>
      </c>
      <c r="Q543" s="11" t="s">
        <v>47</v>
      </c>
    </row>
    <row r="544" spans="1:17" x14ac:dyDescent="0.25">
      <c r="A544" s="11" t="s">
        <v>1043</v>
      </c>
      <c r="B544" s="12">
        <v>45934</v>
      </c>
      <c r="C544" s="11" t="s">
        <v>417</v>
      </c>
      <c r="D544" s="11" t="s">
        <v>418</v>
      </c>
      <c r="E544" s="11" t="s">
        <v>103</v>
      </c>
      <c r="F544" s="11" t="s">
        <v>42</v>
      </c>
      <c r="G544" s="11">
        <v>3</v>
      </c>
      <c r="H544" s="11">
        <v>6000</v>
      </c>
      <c r="I544" s="11">
        <v>0.15</v>
      </c>
      <c r="J544" s="11">
        <v>15300</v>
      </c>
      <c r="K544" s="11">
        <v>12070.75</v>
      </c>
      <c r="L544" s="11">
        <v>3229.25</v>
      </c>
      <c r="M544" s="11" t="s">
        <v>22</v>
      </c>
      <c r="N544" s="11" t="s">
        <v>23</v>
      </c>
      <c r="O544" s="11" t="s">
        <v>45</v>
      </c>
      <c r="P544" s="11" t="s">
        <v>46</v>
      </c>
      <c r="Q544" s="11" t="s">
        <v>26</v>
      </c>
    </row>
    <row r="545" spans="1:17" x14ac:dyDescent="0.25">
      <c r="A545" s="11" t="s">
        <v>1044</v>
      </c>
      <c r="B545" s="12">
        <v>45663</v>
      </c>
      <c r="C545" s="11" t="s">
        <v>922</v>
      </c>
      <c r="D545" s="11" t="s">
        <v>923</v>
      </c>
      <c r="E545" s="11" t="s">
        <v>41</v>
      </c>
      <c r="F545" s="11" t="s">
        <v>42</v>
      </c>
      <c r="G545" s="11">
        <v>2</v>
      </c>
      <c r="H545" s="11">
        <v>7500</v>
      </c>
      <c r="I545" s="13">
        <v>0.1</v>
      </c>
      <c r="J545" s="11">
        <v>13500</v>
      </c>
      <c r="K545" s="11">
        <v>12563.06</v>
      </c>
      <c r="L545" s="11">
        <v>936.94</v>
      </c>
      <c r="M545" s="11" t="s">
        <v>99</v>
      </c>
      <c r="N545" s="11" t="s">
        <v>71</v>
      </c>
      <c r="O545" s="11" t="s">
        <v>32</v>
      </c>
      <c r="P545" s="11" t="s">
        <v>46</v>
      </c>
      <c r="Q545" s="11" t="s">
        <v>26</v>
      </c>
    </row>
    <row r="546" spans="1:17" x14ac:dyDescent="0.25">
      <c r="A546" s="11" t="s">
        <v>1045</v>
      </c>
      <c r="B546" s="12">
        <v>46010</v>
      </c>
      <c r="C546" s="11" t="s">
        <v>545</v>
      </c>
      <c r="D546" s="11" t="s">
        <v>546</v>
      </c>
      <c r="E546" s="11" t="s">
        <v>123</v>
      </c>
      <c r="F546" s="11" t="s">
        <v>21</v>
      </c>
      <c r="G546" s="11">
        <v>5</v>
      </c>
      <c r="H546" s="11">
        <v>2200</v>
      </c>
      <c r="I546" s="11">
        <v>0</v>
      </c>
      <c r="J546" s="11">
        <v>11000</v>
      </c>
      <c r="K546" s="11">
        <v>9061.35</v>
      </c>
      <c r="L546" s="11">
        <v>1938.65</v>
      </c>
      <c r="M546" s="11" t="s">
        <v>70</v>
      </c>
      <c r="N546" s="11" t="s">
        <v>71</v>
      </c>
      <c r="O546" s="11" t="s">
        <v>45</v>
      </c>
      <c r="P546" s="11" t="s">
        <v>55</v>
      </c>
      <c r="Q546" s="11" t="s">
        <v>26</v>
      </c>
    </row>
    <row r="547" spans="1:17" x14ac:dyDescent="0.25">
      <c r="A547" s="11" t="s">
        <v>1046</v>
      </c>
      <c r="B547" s="12">
        <v>45661</v>
      </c>
      <c r="C547" s="11" t="s">
        <v>571</v>
      </c>
      <c r="D547" s="11" t="s">
        <v>572</v>
      </c>
      <c r="E547" s="11" t="s">
        <v>103</v>
      </c>
      <c r="F547" s="11" t="s">
        <v>42</v>
      </c>
      <c r="G547" s="11">
        <v>5</v>
      </c>
      <c r="H547" s="11">
        <v>6000</v>
      </c>
      <c r="I547" s="11">
        <v>0.05</v>
      </c>
      <c r="J547" s="11">
        <v>28500</v>
      </c>
      <c r="K547" s="11">
        <v>22340.98</v>
      </c>
      <c r="L547" s="11">
        <v>6159.02</v>
      </c>
      <c r="M547" s="11" t="s">
        <v>59</v>
      </c>
      <c r="N547" s="11" t="s">
        <v>59</v>
      </c>
      <c r="O547" s="11" t="s">
        <v>24</v>
      </c>
      <c r="P547" s="11" t="s">
        <v>37</v>
      </c>
      <c r="Q547" s="11" t="s">
        <v>26</v>
      </c>
    </row>
    <row r="548" spans="1:17" x14ac:dyDescent="0.25">
      <c r="A548" s="11" t="s">
        <v>1047</v>
      </c>
      <c r="B548" s="12">
        <v>45851</v>
      </c>
      <c r="C548" s="11" t="s">
        <v>762</v>
      </c>
      <c r="D548" s="11" t="s">
        <v>763</v>
      </c>
      <c r="E548" s="11" t="s">
        <v>116</v>
      </c>
      <c r="F548" s="11" t="s">
        <v>94</v>
      </c>
      <c r="G548" s="11">
        <v>2</v>
      </c>
      <c r="H548" s="11">
        <v>1800</v>
      </c>
      <c r="I548" s="11">
        <v>0.15</v>
      </c>
      <c r="J548" s="11">
        <v>3060</v>
      </c>
      <c r="K548" s="11">
        <v>2405.59</v>
      </c>
      <c r="L548" s="11">
        <v>654.41</v>
      </c>
      <c r="M548" s="11" t="s">
        <v>22</v>
      </c>
      <c r="N548" s="11" t="s">
        <v>23</v>
      </c>
      <c r="O548" s="11" t="s">
        <v>24</v>
      </c>
      <c r="P548" s="11" t="s">
        <v>95</v>
      </c>
      <c r="Q548" s="11" t="s">
        <v>47</v>
      </c>
    </row>
    <row r="549" spans="1:17" x14ac:dyDescent="0.25">
      <c r="A549" s="11" t="s">
        <v>1048</v>
      </c>
      <c r="B549" s="12">
        <v>45795</v>
      </c>
      <c r="C549" s="11" t="s">
        <v>571</v>
      </c>
      <c r="D549" s="11" t="s">
        <v>572</v>
      </c>
      <c r="E549" s="11" t="s">
        <v>41</v>
      </c>
      <c r="F549" s="11" t="s">
        <v>42</v>
      </c>
      <c r="G549" s="11">
        <v>3</v>
      </c>
      <c r="H549" s="11">
        <v>7500</v>
      </c>
      <c r="I549" s="13">
        <v>0.2</v>
      </c>
      <c r="J549" s="11">
        <v>18000</v>
      </c>
      <c r="K549" s="11">
        <v>19041.77</v>
      </c>
      <c r="L549" s="11">
        <v>-1041.77</v>
      </c>
      <c r="M549" s="11" t="s">
        <v>75</v>
      </c>
      <c r="N549" s="11" t="s">
        <v>76</v>
      </c>
      <c r="O549" s="11" t="s">
        <v>32</v>
      </c>
      <c r="P549" s="11" t="s">
        <v>95</v>
      </c>
      <c r="Q549" s="11" t="s">
        <v>26</v>
      </c>
    </row>
    <row r="550" spans="1:17" x14ac:dyDescent="0.25">
      <c r="A550" s="11" t="s">
        <v>1049</v>
      </c>
      <c r="B550" s="12">
        <v>45889</v>
      </c>
      <c r="C550" s="11" t="s">
        <v>1009</v>
      </c>
      <c r="D550" s="11" t="s">
        <v>1010</v>
      </c>
      <c r="E550" s="11" t="s">
        <v>20</v>
      </c>
      <c r="F550" s="11" t="s">
        <v>21</v>
      </c>
      <c r="G550" s="11">
        <v>4</v>
      </c>
      <c r="H550" s="11">
        <v>4500</v>
      </c>
      <c r="I550" s="13">
        <v>0.2</v>
      </c>
      <c r="J550" s="11">
        <v>14400</v>
      </c>
      <c r="K550" s="11">
        <v>14278.2</v>
      </c>
      <c r="L550" s="11">
        <v>121.8</v>
      </c>
      <c r="M550" s="11" t="s">
        <v>36</v>
      </c>
      <c r="N550" s="11" t="s">
        <v>23</v>
      </c>
      <c r="O550" s="11" t="s">
        <v>32</v>
      </c>
      <c r="P550" s="11" t="s">
        <v>46</v>
      </c>
      <c r="Q550" s="11" t="s">
        <v>26</v>
      </c>
    </row>
    <row r="551" spans="1:17" x14ac:dyDescent="0.25">
      <c r="A551" s="11" t="s">
        <v>1050</v>
      </c>
      <c r="B551" s="12">
        <v>45669</v>
      </c>
      <c r="C551" s="11" t="s">
        <v>83</v>
      </c>
      <c r="D551" s="11" t="s">
        <v>84</v>
      </c>
      <c r="E551" s="11" t="s">
        <v>107</v>
      </c>
      <c r="F551" s="11" t="s">
        <v>108</v>
      </c>
      <c r="G551" s="11">
        <v>1</v>
      </c>
      <c r="H551" s="11">
        <v>1400</v>
      </c>
      <c r="I551" s="11">
        <v>0.2</v>
      </c>
      <c r="J551" s="11">
        <v>1120</v>
      </c>
      <c r="K551" s="11">
        <v>942.93</v>
      </c>
      <c r="L551" s="11">
        <v>177.07</v>
      </c>
      <c r="M551" s="11" t="s">
        <v>80</v>
      </c>
      <c r="N551" s="11" t="s">
        <v>81</v>
      </c>
      <c r="O551" s="11" t="s">
        <v>45</v>
      </c>
      <c r="P551" s="11" t="s">
        <v>95</v>
      </c>
      <c r="Q551" s="11" t="s">
        <v>60</v>
      </c>
    </row>
    <row r="552" spans="1:17" x14ac:dyDescent="0.25">
      <c r="A552" s="11" t="s">
        <v>1051</v>
      </c>
      <c r="B552" s="12">
        <v>45704</v>
      </c>
      <c r="C552" s="11" t="s">
        <v>653</v>
      </c>
      <c r="D552" s="11" t="s">
        <v>654</v>
      </c>
      <c r="E552" s="11" t="s">
        <v>131</v>
      </c>
      <c r="F552" s="11" t="s">
        <v>21</v>
      </c>
      <c r="G552" s="11">
        <v>1</v>
      </c>
      <c r="H552" s="11">
        <v>1600</v>
      </c>
      <c r="I552" s="11">
        <v>0.05</v>
      </c>
      <c r="J552" s="11">
        <v>1520</v>
      </c>
      <c r="K552" s="11">
        <v>1221.6400000000001</v>
      </c>
      <c r="L552" s="11">
        <v>298.36</v>
      </c>
      <c r="M552" s="11" t="s">
        <v>80</v>
      </c>
      <c r="N552" s="11" t="s">
        <v>81</v>
      </c>
      <c r="O552" s="11" t="s">
        <v>45</v>
      </c>
      <c r="P552" s="11" t="s">
        <v>37</v>
      </c>
      <c r="Q552" s="11" t="s">
        <v>26</v>
      </c>
    </row>
    <row r="553" spans="1:17" x14ac:dyDescent="0.25">
      <c r="A553" s="11" t="s">
        <v>1052</v>
      </c>
      <c r="B553" s="12">
        <v>46014</v>
      </c>
      <c r="C553" s="11" t="s">
        <v>1053</v>
      </c>
      <c r="D553" s="11" t="s">
        <v>1054</v>
      </c>
      <c r="E553" s="11" t="s">
        <v>123</v>
      </c>
      <c r="F553" s="11" t="s">
        <v>21</v>
      </c>
      <c r="G553" s="11">
        <v>3</v>
      </c>
      <c r="H553" s="11">
        <v>2200</v>
      </c>
      <c r="I553" s="13">
        <v>0.15</v>
      </c>
      <c r="J553" s="11">
        <v>5610</v>
      </c>
      <c r="K553" s="11">
        <v>4411.78</v>
      </c>
      <c r="L553" s="11">
        <v>1198.22</v>
      </c>
      <c r="M553" s="11" t="s">
        <v>99</v>
      </c>
      <c r="N553" s="11" t="s">
        <v>71</v>
      </c>
      <c r="O553" s="11" t="s">
        <v>32</v>
      </c>
      <c r="P553" s="11" t="s">
        <v>55</v>
      </c>
      <c r="Q553" s="11" t="s">
        <v>26</v>
      </c>
    </row>
    <row r="554" spans="1:17" x14ac:dyDescent="0.25">
      <c r="A554" s="11" t="s">
        <v>1055</v>
      </c>
      <c r="B554" s="12">
        <v>45898</v>
      </c>
      <c r="C554" s="11" t="s">
        <v>999</v>
      </c>
      <c r="D554" s="11" t="s">
        <v>1000</v>
      </c>
      <c r="E554" s="11" t="s">
        <v>85</v>
      </c>
      <c r="F554" s="11" t="s">
        <v>86</v>
      </c>
      <c r="G554" s="11">
        <v>1</v>
      </c>
      <c r="H554" s="11">
        <v>450</v>
      </c>
      <c r="I554" s="11">
        <v>0.2</v>
      </c>
      <c r="J554" s="11">
        <v>360</v>
      </c>
      <c r="K554" s="11">
        <v>385.2</v>
      </c>
      <c r="L554" s="11">
        <v>-25.2</v>
      </c>
      <c r="M554" s="11" t="s">
        <v>80</v>
      </c>
      <c r="N554" s="11" t="s">
        <v>81</v>
      </c>
      <c r="O554" s="11" t="s">
        <v>45</v>
      </c>
      <c r="P554" s="11" t="s">
        <v>37</v>
      </c>
      <c r="Q554" s="11" t="s">
        <v>26</v>
      </c>
    </row>
    <row r="555" spans="1:17" x14ac:dyDescent="0.25">
      <c r="A555" s="11" t="s">
        <v>1056</v>
      </c>
      <c r="B555" s="12">
        <v>45884</v>
      </c>
      <c r="C555" s="11" t="s">
        <v>963</v>
      </c>
      <c r="D555" s="11" t="s">
        <v>964</v>
      </c>
      <c r="E555" s="11" t="s">
        <v>20</v>
      </c>
      <c r="F555" s="11" t="s">
        <v>21</v>
      </c>
      <c r="G555" s="11">
        <v>2</v>
      </c>
      <c r="H555" s="11">
        <v>4500</v>
      </c>
      <c r="I555" s="13">
        <v>0.15</v>
      </c>
      <c r="J555" s="11">
        <v>7650</v>
      </c>
      <c r="K555" s="11">
        <v>7908.69</v>
      </c>
      <c r="L555" s="11">
        <v>-258.69</v>
      </c>
      <c r="M555" s="11" t="s">
        <v>22</v>
      </c>
      <c r="N555" s="11" t="s">
        <v>23</v>
      </c>
      <c r="O555" s="11" t="s">
        <v>32</v>
      </c>
      <c r="P555" s="11" t="s">
        <v>37</v>
      </c>
      <c r="Q555" s="11" t="s">
        <v>60</v>
      </c>
    </row>
    <row r="556" spans="1:17" x14ac:dyDescent="0.25">
      <c r="A556" s="11" t="s">
        <v>1057</v>
      </c>
      <c r="B556" s="12">
        <v>45900</v>
      </c>
      <c r="C556" s="11" t="s">
        <v>447</v>
      </c>
      <c r="D556" s="11" t="s">
        <v>448</v>
      </c>
      <c r="E556" s="11" t="s">
        <v>20</v>
      </c>
      <c r="F556" s="11" t="s">
        <v>21</v>
      </c>
      <c r="G556" s="11">
        <v>5</v>
      </c>
      <c r="H556" s="11">
        <v>4500</v>
      </c>
      <c r="I556" s="11">
        <v>0.05</v>
      </c>
      <c r="J556" s="11">
        <v>21375</v>
      </c>
      <c r="K556" s="11">
        <v>19599.28</v>
      </c>
      <c r="L556" s="11">
        <v>1775.72</v>
      </c>
      <c r="M556" s="11" t="s">
        <v>75</v>
      </c>
      <c r="N556" s="11" t="s">
        <v>76</v>
      </c>
      <c r="O556" s="11" t="s">
        <v>45</v>
      </c>
      <c r="P556" s="11" t="s">
        <v>95</v>
      </c>
      <c r="Q556" s="11" t="s">
        <v>60</v>
      </c>
    </row>
    <row r="557" spans="1:17" x14ac:dyDescent="0.25">
      <c r="A557" s="11" t="s">
        <v>1058</v>
      </c>
      <c r="B557" s="12">
        <v>45720</v>
      </c>
      <c r="C557" s="11" t="s">
        <v>897</v>
      </c>
      <c r="D557" s="11" t="s">
        <v>898</v>
      </c>
      <c r="E557" s="11" t="s">
        <v>141</v>
      </c>
      <c r="F557" s="11" t="s">
        <v>21</v>
      </c>
      <c r="G557" s="11">
        <v>5</v>
      </c>
      <c r="H557" s="11">
        <v>22000</v>
      </c>
      <c r="I557" s="13">
        <v>0.2</v>
      </c>
      <c r="J557" s="11">
        <v>88000</v>
      </c>
      <c r="K557" s="11">
        <v>87654.56</v>
      </c>
      <c r="L557" s="11">
        <v>345.44</v>
      </c>
      <c r="M557" s="11" t="s">
        <v>36</v>
      </c>
      <c r="N557" s="11" t="s">
        <v>23</v>
      </c>
      <c r="O557" s="11" t="s">
        <v>32</v>
      </c>
      <c r="P557" s="11" t="s">
        <v>46</v>
      </c>
      <c r="Q557" s="11" t="s">
        <v>26</v>
      </c>
    </row>
    <row r="558" spans="1:17" x14ac:dyDescent="0.25">
      <c r="A558" s="11" t="s">
        <v>1059</v>
      </c>
      <c r="B558" s="12">
        <v>45982</v>
      </c>
      <c r="C558" s="11" t="s">
        <v>1060</v>
      </c>
      <c r="D558" s="11" t="s">
        <v>1061</v>
      </c>
      <c r="E558" s="11" t="s">
        <v>112</v>
      </c>
      <c r="F558" s="11" t="s">
        <v>94</v>
      </c>
      <c r="G558" s="11">
        <v>1</v>
      </c>
      <c r="H558" s="11">
        <v>800</v>
      </c>
      <c r="I558" s="11">
        <v>0.05</v>
      </c>
      <c r="J558" s="11">
        <v>760</v>
      </c>
      <c r="K558" s="11">
        <v>522.77</v>
      </c>
      <c r="L558" s="11">
        <v>237.23</v>
      </c>
      <c r="M558" s="11" t="s">
        <v>75</v>
      </c>
      <c r="N558" s="11" t="s">
        <v>76</v>
      </c>
      <c r="O558" s="11" t="s">
        <v>45</v>
      </c>
      <c r="P558" s="11" t="s">
        <v>25</v>
      </c>
      <c r="Q558" s="11" t="s">
        <v>26</v>
      </c>
    </row>
    <row r="559" spans="1:17" x14ac:dyDescent="0.25">
      <c r="A559" s="11" t="s">
        <v>1062</v>
      </c>
      <c r="B559" s="12">
        <v>45679</v>
      </c>
      <c r="C559" s="11" t="s">
        <v>1063</v>
      </c>
      <c r="D559" s="11" t="s">
        <v>1064</v>
      </c>
      <c r="E559" s="11" t="s">
        <v>85</v>
      </c>
      <c r="F559" s="11" t="s">
        <v>86</v>
      </c>
      <c r="G559" s="11">
        <v>2</v>
      </c>
      <c r="H559" s="11">
        <v>450</v>
      </c>
      <c r="I559" s="11">
        <v>0</v>
      </c>
      <c r="J559" s="11">
        <v>900</v>
      </c>
      <c r="K559" s="11">
        <v>708.42</v>
      </c>
      <c r="L559" s="11">
        <v>191.58</v>
      </c>
      <c r="M559" s="11" t="s">
        <v>70</v>
      </c>
      <c r="N559" s="11" t="s">
        <v>71</v>
      </c>
      <c r="O559" s="11" t="s">
        <v>45</v>
      </c>
      <c r="P559" s="11" t="s">
        <v>55</v>
      </c>
      <c r="Q559" s="11" t="s">
        <v>26</v>
      </c>
    </row>
    <row r="560" spans="1:17" x14ac:dyDescent="0.25">
      <c r="A560" s="11" t="s">
        <v>1065</v>
      </c>
      <c r="B560" s="12">
        <v>46009</v>
      </c>
      <c r="C560" s="11" t="s">
        <v>330</v>
      </c>
      <c r="D560" s="11" t="s">
        <v>331</v>
      </c>
      <c r="E560" s="11" t="s">
        <v>93</v>
      </c>
      <c r="F560" s="11" t="s">
        <v>94</v>
      </c>
      <c r="G560" s="11">
        <v>4</v>
      </c>
      <c r="H560" s="11">
        <v>2800</v>
      </c>
      <c r="I560" s="11">
        <v>0</v>
      </c>
      <c r="J560" s="11">
        <v>11200</v>
      </c>
      <c r="K560" s="11">
        <v>9777.82</v>
      </c>
      <c r="L560" s="11">
        <v>1422.18</v>
      </c>
      <c r="M560" s="11" t="s">
        <v>59</v>
      </c>
      <c r="N560" s="11" t="s">
        <v>59</v>
      </c>
      <c r="O560" s="11" t="s">
        <v>24</v>
      </c>
      <c r="P560" s="11" t="s">
        <v>55</v>
      </c>
      <c r="Q560" s="11" t="s">
        <v>26</v>
      </c>
    </row>
    <row r="561" spans="1:17" x14ac:dyDescent="0.25">
      <c r="A561" s="11" t="s">
        <v>1066</v>
      </c>
      <c r="B561" s="12">
        <v>45712</v>
      </c>
      <c r="C561" s="11" t="s">
        <v>230</v>
      </c>
      <c r="D561" s="11" t="s">
        <v>231</v>
      </c>
      <c r="E561" s="11" t="s">
        <v>54</v>
      </c>
      <c r="F561" s="11" t="s">
        <v>31</v>
      </c>
      <c r="G561" s="11">
        <v>2</v>
      </c>
      <c r="H561" s="11">
        <v>2800</v>
      </c>
      <c r="I561" s="11">
        <v>0.2</v>
      </c>
      <c r="J561" s="11">
        <v>4480</v>
      </c>
      <c r="K561" s="11">
        <v>3939.68</v>
      </c>
      <c r="L561" s="11">
        <v>540.32000000000005</v>
      </c>
      <c r="M561" s="11" t="s">
        <v>80</v>
      </c>
      <c r="N561" s="11" t="s">
        <v>81</v>
      </c>
      <c r="O561" s="11" t="s">
        <v>24</v>
      </c>
      <c r="P561" s="11" t="s">
        <v>46</v>
      </c>
      <c r="Q561" s="11" t="s">
        <v>26</v>
      </c>
    </row>
    <row r="562" spans="1:17" x14ac:dyDescent="0.25">
      <c r="A562" s="11" t="s">
        <v>1067</v>
      </c>
      <c r="B562" s="12">
        <v>45841</v>
      </c>
      <c r="C562" s="11" t="s">
        <v>499</v>
      </c>
      <c r="D562" s="11" t="s">
        <v>500</v>
      </c>
      <c r="E562" s="11" t="s">
        <v>112</v>
      </c>
      <c r="F562" s="11" t="s">
        <v>94</v>
      </c>
      <c r="G562" s="11">
        <v>1</v>
      </c>
      <c r="H562" s="11">
        <v>800</v>
      </c>
      <c r="I562" s="11">
        <v>0.15</v>
      </c>
      <c r="J562" s="11">
        <v>680</v>
      </c>
      <c r="K562" s="11">
        <v>685.35</v>
      </c>
      <c r="L562" s="11">
        <v>-5.35</v>
      </c>
      <c r="M562" s="11" t="s">
        <v>80</v>
      </c>
      <c r="N562" s="11" t="s">
        <v>81</v>
      </c>
      <c r="O562" s="11" t="s">
        <v>45</v>
      </c>
      <c r="P562" s="11" t="s">
        <v>37</v>
      </c>
      <c r="Q562" s="11" t="s">
        <v>47</v>
      </c>
    </row>
    <row r="563" spans="1:17" x14ac:dyDescent="0.25">
      <c r="A563" s="11" t="s">
        <v>1068</v>
      </c>
      <c r="B563" s="12">
        <v>45755</v>
      </c>
      <c r="C563" s="11" t="s">
        <v>508</v>
      </c>
      <c r="D563" s="11" t="s">
        <v>509</v>
      </c>
      <c r="E563" s="11" t="s">
        <v>103</v>
      </c>
      <c r="F563" s="11" t="s">
        <v>42</v>
      </c>
      <c r="G563" s="11">
        <v>5</v>
      </c>
      <c r="H563" s="11">
        <v>6000</v>
      </c>
      <c r="I563" s="11">
        <v>0.15</v>
      </c>
      <c r="J563" s="11">
        <v>25500</v>
      </c>
      <c r="K563" s="11">
        <v>21898.89</v>
      </c>
      <c r="L563" s="11">
        <v>3601.11</v>
      </c>
      <c r="M563" s="11" t="s">
        <v>80</v>
      </c>
      <c r="N563" s="11" t="s">
        <v>81</v>
      </c>
      <c r="O563" s="11" t="s">
        <v>24</v>
      </c>
      <c r="P563" s="11" t="s">
        <v>37</v>
      </c>
      <c r="Q563" s="11" t="s">
        <v>26</v>
      </c>
    </row>
    <row r="564" spans="1:17" x14ac:dyDescent="0.25">
      <c r="A564" s="11" t="s">
        <v>1069</v>
      </c>
      <c r="B564" s="12">
        <v>45737</v>
      </c>
      <c r="C564" s="11" t="s">
        <v>470</v>
      </c>
      <c r="D564" s="11" t="s">
        <v>471</v>
      </c>
      <c r="E564" s="11" t="s">
        <v>93</v>
      </c>
      <c r="F564" s="11" t="s">
        <v>94</v>
      </c>
      <c r="G564" s="11">
        <v>1</v>
      </c>
      <c r="H564" s="11">
        <v>2800</v>
      </c>
      <c r="I564" s="11">
        <v>0.2</v>
      </c>
      <c r="J564" s="11">
        <v>2240</v>
      </c>
      <c r="K564" s="11">
        <v>2347.71</v>
      </c>
      <c r="L564" s="11">
        <v>-107.71</v>
      </c>
      <c r="M564" s="11" t="s">
        <v>70</v>
      </c>
      <c r="N564" s="11" t="s">
        <v>71</v>
      </c>
      <c r="O564" s="11" t="s">
        <v>24</v>
      </c>
      <c r="P564" s="11" t="s">
        <v>46</v>
      </c>
      <c r="Q564" s="11" t="s">
        <v>26</v>
      </c>
    </row>
    <row r="565" spans="1:17" x14ac:dyDescent="0.25">
      <c r="A565" s="11" t="s">
        <v>1070</v>
      </c>
      <c r="B565" s="12">
        <v>45752</v>
      </c>
      <c r="C565" s="11" t="s">
        <v>1017</v>
      </c>
      <c r="D565" s="11" t="s">
        <v>1018</v>
      </c>
      <c r="E565" s="11" t="s">
        <v>158</v>
      </c>
      <c r="F565" s="11" t="s">
        <v>21</v>
      </c>
      <c r="G565" s="11">
        <v>5</v>
      </c>
      <c r="H565" s="11">
        <v>55000</v>
      </c>
      <c r="I565" s="11">
        <v>0.15</v>
      </c>
      <c r="J565" s="11">
        <v>233750</v>
      </c>
      <c r="K565" s="11">
        <v>232944.45</v>
      </c>
      <c r="L565" s="11">
        <v>805.55</v>
      </c>
      <c r="M565" s="11" t="s">
        <v>99</v>
      </c>
      <c r="N565" s="11" t="s">
        <v>71</v>
      </c>
      <c r="O565" s="11" t="s">
        <v>24</v>
      </c>
      <c r="P565" s="11" t="s">
        <v>95</v>
      </c>
      <c r="Q565" s="11" t="s">
        <v>26</v>
      </c>
    </row>
    <row r="566" spans="1:17" x14ac:dyDescent="0.25">
      <c r="A566" s="11" t="s">
        <v>1071</v>
      </c>
      <c r="B566" s="12">
        <v>45755</v>
      </c>
      <c r="C566" s="11" t="s">
        <v>987</v>
      </c>
      <c r="D566" s="11" t="s">
        <v>988</v>
      </c>
      <c r="E566" s="11" t="s">
        <v>62</v>
      </c>
      <c r="F566" s="11" t="s">
        <v>21</v>
      </c>
      <c r="G566" s="11">
        <v>5</v>
      </c>
      <c r="H566" s="11">
        <v>1800</v>
      </c>
      <c r="I566" s="11">
        <v>0.15</v>
      </c>
      <c r="J566" s="11">
        <v>7650</v>
      </c>
      <c r="K566" s="11">
        <v>6991.54</v>
      </c>
      <c r="L566" s="11">
        <v>658.46</v>
      </c>
      <c r="M566" s="11" t="s">
        <v>70</v>
      </c>
      <c r="N566" s="11" t="s">
        <v>71</v>
      </c>
      <c r="O566" s="11" t="s">
        <v>24</v>
      </c>
      <c r="P566" s="11" t="s">
        <v>46</v>
      </c>
      <c r="Q566" s="11" t="s">
        <v>26</v>
      </c>
    </row>
    <row r="567" spans="1:17" x14ac:dyDescent="0.25">
      <c r="A567" s="11" t="s">
        <v>1072</v>
      </c>
      <c r="B567" s="12">
        <v>45707</v>
      </c>
      <c r="C567" s="11" t="s">
        <v>52</v>
      </c>
      <c r="D567" s="11" t="s">
        <v>53</v>
      </c>
      <c r="E567" s="11" t="s">
        <v>30</v>
      </c>
      <c r="F567" s="11" t="s">
        <v>31</v>
      </c>
      <c r="G567" s="11">
        <v>3</v>
      </c>
      <c r="H567" s="11">
        <v>1200</v>
      </c>
      <c r="I567" s="13">
        <v>0</v>
      </c>
      <c r="J567" s="11">
        <v>3600</v>
      </c>
      <c r="K567" s="11">
        <v>3031.54</v>
      </c>
      <c r="L567" s="11">
        <v>568.46</v>
      </c>
      <c r="M567" s="11" t="s">
        <v>43</v>
      </c>
      <c r="N567" s="11" t="s">
        <v>44</v>
      </c>
      <c r="O567" s="11" t="s">
        <v>32</v>
      </c>
      <c r="P567" s="11" t="s">
        <v>95</v>
      </c>
      <c r="Q567" s="11" t="s">
        <v>26</v>
      </c>
    </row>
    <row r="568" spans="1:17" x14ac:dyDescent="0.25">
      <c r="A568" s="11" t="s">
        <v>1073</v>
      </c>
      <c r="B568" s="12">
        <v>45756</v>
      </c>
      <c r="C568" s="11" t="s">
        <v>369</v>
      </c>
      <c r="D568" s="11" t="s">
        <v>370</v>
      </c>
      <c r="E568" s="11" t="s">
        <v>112</v>
      </c>
      <c r="F568" s="11" t="s">
        <v>94</v>
      </c>
      <c r="G568" s="11">
        <v>1</v>
      </c>
      <c r="H568" s="11">
        <v>800</v>
      </c>
      <c r="I568" s="11">
        <v>0.15</v>
      </c>
      <c r="J568" s="11">
        <v>680</v>
      </c>
      <c r="K568" s="11">
        <v>625.07000000000005</v>
      </c>
      <c r="L568" s="11">
        <v>54.93</v>
      </c>
      <c r="M568" s="11" t="s">
        <v>43</v>
      </c>
      <c r="N568" s="11" t="s">
        <v>44</v>
      </c>
      <c r="O568" s="11" t="s">
        <v>45</v>
      </c>
      <c r="P568" s="11" t="s">
        <v>37</v>
      </c>
      <c r="Q568" s="11" t="s">
        <v>47</v>
      </c>
    </row>
    <row r="569" spans="1:17" x14ac:dyDescent="0.25">
      <c r="A569" s="11" t="s">
        <v>1074</v>
      </c>
      <c r="B569" s="12">
        <v>45771</v>
      </c>
      <c r="C569" s="11" t="s">
        <v>653</v>
      </c>
      <c r="D569" s="11" t="s">
        <v>654</v>
      </c>
      <c r="E569" s="11" t="s">
        <v>41</v>
      </c>
      <c r="F569" s="11" t="s">
        <v>42</v>
      </c>
      <c r="G569" s="11">
        <v>1</v>
      </c>
      <c r="H569" s="11">
        <v>7500</v>
      </c>
      <c r="I569" s="13">
        <v>0.1</v>
      </c>
      <c r="J569" s="11">
        <v>6750</v>
      </c>
      <c r="K569" s="11">
        <v>6479.61</v>
      </c>
      <c r="L569" s="11">
        <v>270.39</v>
      </c>
      <c r="M569" s="11" t="s">
        <v>43</v>
      </c>
      <c r="N569" s="11" t="s">
        <v>44</v>
      </c>
      <c r="O569" s="11" t="s">
        <v>32</v>
      </c>
      <c r="P569" s="11" t="s">
        <v>37</v>
      </c>
      <c r="Q569" s="11" t="s">
        <v>26</v>
      </c>
    </row>
    <row r="570" spans="1:17" x14ac:dyDescent="0.25">
      <c r="A570" s="11" t="s">
        <v>1075</v>
      </c>
      <c r="B570" s="12">
        <v>45943</v>
      </c>
      <c r="C570" s="11" t="s">
        <v>618</v>
      </c>
      <c r="D570" s="11" t="s">
        <v>619</v>
      </c>
      <c r="E570" s="11" t="s">
        <v>131</v>
      </c>
      <c r="F570" s="11" t="s">
        <v>21</v>
      </c>
      <c r="G570" s="11">
        <v>1</v>
      </c>
      <c r="H570" s="11">
        <v>1600</v>
      </c>
      <c r="I570" s="11">
        <v>0.1</v>
      </c>
      <c r="J570" s="11">
        <v>1440</v>
      </c>
      <c r="K570" s="11">
        <v>1175.82</v>
      </c>
      <c r="L570" s="11">
        <v>264.18</v>
      </c>
      <c r="M570" s="11" t="s">
        <v>75</v>
      </c>
      <c r="N570" s="11" t="s">
        <v>76</v>
      </c>
      <c r="O570" s="11" t="s">
        <v>24</v>
      </c>
      <c r="P570" s="11" t="s">
        <v>55</v>
      </c>
      <c r="Q570" s="11" t="s">
        <v>47</v>
      </c>
    </row>
    <row r="571" spans="1:17" x14ac:dyDescent="0.25">
      <c r="A571" s="11" t="s">
        <v>1076</v>
      </c>
      <c r="B571" s="12">
        <v>45694</v>
      </c>
      <c r="C571" s="11" t="s">
        <v>339</v>
      </c>
      <c r="D571" s="11" t="s">
        <v>340</v>
      </c>
      <c r="E571" s="11" t="s">
        <v>41</v>
      </c>
      <c r="F571" s="11" t="s">
        <v>42</v>
      </c>
      <c r="G571" s="11">
        <v>5</v>
      </c>
      <c r="H571" s="11">
        <v>7500</v>
      </c>
      <c r="I571" s="11">
        <v>0</v>
      </c>
      <c r="J571" s="11">
        <v>37500</v>
      </c>
      <c r="K571" s="11">
        <v>32522.21</v>
      </c>
      <c r="L571" s="11">
        <v>4977.79</v>
      </c>
      <c r="M571" s="11" t="s">
        <v>36</v>
      </c>
      <c r="N571" s="11" t="s">
        <v>23</v>
      </c>
      <c r="O571" s="11" t="s">
        <v>24</v>
      </c>
      <c r="P571" s="11" t="s">
        <v>55</v>
      </c>
      <c r="Q571" s="11" t="s">
        <v>26</v>
      </c>
    </row>
    <row r="572" spans="1:17" x14ac:dyDescent="0.25">
      <c r="A572" s="11" t="s">
        <v>1077</v>
      </c>
      <c r="B572" s="12">
        <v>45755</v>
      </c>
      <c r="C572" s="11" t="s">
        <v>440</v>
      </c>
      <c r="D572" s="11" t="s">
        <v>441</v>
      </c>
      <c r="E572" s="11" t="s">
        <v>116</v>
      </c>
      <c r="F572" s="11" t="s">
        <v>94</v>
      </c>
      <c r="G572" s="11">
        <v>5</v>
      </c>
      <c r="H572" s="11">
        <v>1800</v>
      </c>
      <c r="I572" s="11">
        <v>0.15</v>
      </c>
      <c r="J572" s="11">
        <v>7650</v>
      </c>
      <c r="K572" s="11">
        <v>7209.73</v>
      </c>
      <c r="L572" s="11">
        <v>440.27</v>
      </c>
      <c r="M572" s="11" t="s">
        <v>22</v>
      </c>
      <c r="N572" s="11" t="s">
        <v>23</v>
      </c>
      <c r="O572" s="11" t="s">
        <v>24</v>
      </c>
      <c r="P572" s="11" t="s">
        <v>95</v>
      </c>
      <c r="Q572" s="11" t="s">
        <v>47</v>
      </c>
    </row>
    <row r="573" spans="1:17" x14ac:dyDescent="0.25">
      <c r="A573" s="11" t="s">
        <v>1078</v>
      </c>
      <c r="B573" s="12">
        <v>45841</v>
      </c>
      <c r="C573" s="11" t="s">
        <v>1009</v>
      </c>
      <c r="D573" s="11" t="s">
        <v>1010</v>
      </c>
      <c r="E573" s="11" t="s">
        <v>30</v>
      </c>
      <c r="F573" s="11" t="s">
        <v>31</v>
      </c>
      <c r="G573" s="11">
        <v>1</v>
      </c>
      <c r="H573" s="11">
        <v>1200</v>
      </c>
      <c r="I573" s="13">
        <v>0.2</v>
      </c>
      <c r="J573" s="11">
        <v>960</v>
      </c>
      <c r="K573" s="11">
        <v>963.61</v>
      </c>
      <c r="L573" s="11">
        <v>-3.61</v>
      </c>
      <c r="M573" s="11" t="s">
        <v>70</v>
      </c>
      <c r="N573" s="11" t="s">
        <v>71</v>
      </c>
      <c r="O573" s="11" t="s">
        <v>32</v>
      </c>
      <c r="P573" s="11" t="s">
        <v>95</v>
      </c>
      <c r="Q573" s="11" t="s">
        <v>26</v>
      </c>
    </row>
    <row r="574" spans="1:17" x14ac:dyDescent="0.25">
      <c r="A574" s="11" t="s">
        <v>1079</v>
      </c>
      <c r="B574" s="12">
        <v>45994</v>
      </c>
      <c r="C574" s="11" t="s">
        <v>1080</v>
      </c>
      <c r="D574" s="11" t="s">
        <v>1081</v>
      </c>
      <c r="E574" s="11" t="s">
        <v>85</v>
      </c>
      <c r="F574" s="11" t="s">
        <v>86</v>
      </c>
      <c r="G574" s="11">
        <v>5</v>
      </c>
      <c r="H574" s="11">
        <v>450</v>
      </c>
      <c r="I574" s="11">
        <v>0.1</v>
      </c>
      <c r="J574" s="11">
        <v>2025</v>
      </c>
      <c r="K574" s="11">
        <v>1979.19</v>
      </c>
      <c r="L574" s="11">
        <v>45.81</v>
      </c>
      <c r="M574" s="11" t="s">
        <v>80</v>
      </c>
      <c r="N574" s="11" t="s">
        <v>81</v>
      </c>
      <c r="O574" s="11" t="s">
        <v>45</v>
      </c>
      <c r="P574" s="11" t="s">
        <v>46</v>
      </c>
      <c r="Q574" s="11" t="s">
        <v>26</v>
      </c>
    </row>
    <row r="575" spans="1:17" x14ac:dyDescent="0.25">
      <c r="A575" s="11" t="s">
        <v>1082</v>
      </c>
      <c r="B575" s="12">
        <v>45982</v>
      </c>
      <c r="C575" s="11" t="s">
        <v>532</v>
      </c>
      <c r="D575" s="11" t="s">
        <v>533</v>
      </c>
      <c r="E575" s="11" t="s">
        <v>66</v>
      </c>
      <c r="F575" s="11" t="s">
        <v>31</v>
      </c>
      <c r="G575" s="11">
        <v>3</v>
      </c>
      <c r="H575" s="11">
        <v>3500</v>
      </c>
      <c r="I575" s="11">
        <v>0.15</v>
      </c>
      <c r="J575" s="11">
        <v>8925</v>
      </c>
      <c r="K575" s="11">
        <v>8577.9699999999993</v>
      </c>
      <c r="L575" s="11">
        <v>347.03</v>
      </c>
      <c r="M575" s="11" t="s">
        <v>75</v>
      </c>
      <c r="N575" s="11" t="s">
        <v>76</v>
      </c>
      <c r="O575" s="11" t="s">
        <v>24</v>
      </c>
      <c r="P575" s="11" t="s">
        <v>95</v>
      </c>
      <c r="Q575" s="11" t="s">
        <v>47</v>
      </c>
    </row>
    <row r="576" spans="1:17" x14ac:dyDescent="0.25">
      <c r="A576" s="11" t="s">
        <v>1083</v>
      </c>
      <c r="B576" s="12">
        <v>45788</v>
      </c>
      <c r="C576" s="11" t="s">
        <v>248</v>
      </c>
      <c r="D576" s="11" t="s">
        <v>249</v>
      </c>
      <c r="E576" s="11" t="s">
        <v>112</v>
      </c>
      <c r="F576" s="11" t="s">
        <v>94</v>
      </c>
      <c r="G576" s="11">
        <v>4</v>
      </c>
      <c r="H576" s="11">
        <v>800</v>
      </c>
      <c r="I576" s="11">
        <v>0.2</v>
      </c>
      <c r="J576" s="11">
        <v>2560</v>
      </c>
      <c r="K576" s="11">
        <v>2412.9699999999998</v>
      </c>
      <c r="L576" s="11">
        <v>147.03</v>
      </c>
      <c r="M576" s="11" t="s">
        <v>59</v>
      </c>
      <c r="N576" s="11" t="s">
        <v>59</v>
      </c>
      <c r="O576" s="11" t="s">
        <v>45</v>
      </c>
      <c r="P576" s="11" t="s">
        <v>55</v>
      </c>
      <c r="Q576" s="11" t="s">
        <v>60</v>
      </c>
    </row>
    <row r="577" spans="1:17" x14ac:dyDescent="0.25">
      <c r="A577" s="11" t="s">
        <v>1084</v>
      </c>
      <c r="B577" s="12">
        <v>45666</v>
      </c>
      <c r="C577" s="11" t="s">
        <v>410</v>
      </c>
      <c r="D577" s="11" t="s">
        <v>411</v>
      </c>
      <c r="E577" s="11" t="s">
        <v>141</v>
      </c>
      <c r="F577" s="11" t="s">
        <v>21</v>
      </c>
      <c r="G577" s="11">
        <v>3</v>
      </c>
      <c r="H577" s="11">
        <v>22000</v>
      </c>
      <c r="I577" s="11">
        <v>0.2</v>
      </c>
      <c r="J577" s="11">
        <v>52800</v>
      </c>
      <c r="K577" s="11">
        <v>47481.96</v>
      </c>
      <c r="L577" s="11">
        <v>5318.04</v>
      </c>
      <c r="M577" s="11" t="s">
        <v>80</v>
      </c>
      <c r="N577" s="11" t="s">
        <v>81</v>
      </c>
      <c r="O577" s="11" t="s">
        <v>45</v>
      </c>
      <c r="P577" s="11" t="s">
        <v>95</v>
      </c>
      <c r="Q577" s="11" t="s">
        <v>26</v>
      </c>
    </row>
    <row r="578" spans="1:17" x14ac:dyDescent="0.25">
      <c r="A578" s="11" t="s">
        <v>1085</v>
      </c>
      <c r="B578" s="12">
        <v>45941</v>
      </c>
      <c r="C578" s="11" t="s">
        <v>121</v>
      </c>
      <c r="D578" s="11" t="s">
        <v>122</v>
      </c>
      <c r="E578" s="11" t="s">
        <v>66</v>
      </c>
      <c r="F578" s="11" t="s">
        <v>31</v>
      </c>
      <c r="G578" s="11">
        <v>1</v>
      </c>
      <c r="H578" s="11">
        <v>3500</v>
      </c>
      <c r="I578" s="11">
        <v>0.1</v>
      </c>
      <c r="J578" s="11">
        <v>3150</v>
      </c>
      <c r="K578" s="11">
        <v>2305.38</v>
      </c>
      <c r="L578" s="11">
        <v>844.62</v>
      </c>
      <c r="M578" s="11" t="s">
        <v>80</v>
      </c>
      <c r="N578" s="11" t="s">
        <v>81</v>
      </c>
      <c r="O578" s="11" t="s">
        <v>45</v>
      </c>
      <c r="P578" s="11" t="s">
        <v>95</v>
      </c>
      <c r="Q578" s="11" t="s">
        <v>26</v>
      </c>
    </row>
    <row r="579" spans="1:17" x14ac:dyDescent="0.25">
      <c r="A579" s="11" t="s">
        <v>1086</v>
      </c>
      <c r="B579" s="12">
        <v>45785</v>
      </c>
      <c r="C579" s="11" t="s">
        <v>645</v>
      </c>
      <c r="D579" s="11" t="s">
        <v>646</v>
      </c>
      <c r="E579" s="11" t="s">
        <v>41</v>
      </c>
      <c r="F579" s="11" t="s">
        <v>42</v>
      </c>
      <c r="G579" s="11">
        <v>3</v>
      </c>
      <c r="H579" s="11">
        <v>7500</v>
      </c>
      <c r="I579" s="13">
        <v>0.2</v>
      </c>
      <c r="J579" s="11">
        <v>18000</v>
      </c>
      <c r="K579" s="11">
        <v>18822.310000000001</v>
      </c>
      <c r="L579" s="11">
        <v>-822.31</v>
      </c>
      <c r="M579" s="11" t="s">
        <v>22</v>
      </c>
      <c r="N579" s="11" t="s">
        <v>23</v>
      </c>
      <c r="O579" s="11" t="s">
        <v>32</v>
      </c>
      <c r="P579" s="11" t="s">
        <v>25</v>
      </c>
      <c r="Q579" s="11" t="s">
        <v>26</v>
      </c>
    </row>
    <row r="580" spans="1:17" x14ac:dyDescent="0.25">
      <c r="A580" s="11" t="s">
        <v>1087</v>
      </c>
      <c r="B580" s="12">
        <v>45905</v>
      </c>
      <c r="C580" s="11" t="s">
        <v>230</v>
      </c>
      <c r="D580" s="11" t="s">
        <v>231</v>
      </c>
      <c r="E580" s="11" t="s">
        <v>112</v>
      </c>
      <c r="F580" s="11" t="s">
        <v>94</v>
      </c>
      <c r="G580" s="11">
        <v>1</v>
      </c>
      <c r="H580" s="11">
        <v>800</v>
      </c>
      <c r="I580" s="11">
        <v>0.1</v>
      </c>
      <c r="J580" s="11">
        <v>720</v>
      </c>
      <c r="K580" s="11">
        <v>671.93</v>
      </c>
      <c r="L580" s="11">
        <v>48.07</v>
      </c>
      <c r="M580" s="11" t="s">
        <v>80</v>
      </c>
      <c r="N580" s="11" t="s">
        <v>81</v>
      </c>
      <c r="O580" s="11" t="s">
        <v>24</v>
      </c>
      <c r="P580" s="11" t="s">
        <v>25</v>
      </c>
      <c r="Q580" s="11" t="s">
        <v>26</v>
      </c>
    </row>
    <row r="581" spans="1:17" x14ac:dyDescent="0.25">
      <c r="A581" s="11" t="s">
        <v>1088</v>
      </c>
      <c r="B581" s="12">
        <v>45853</v>
      </c>
      <c r="C581" s="11" t="s">
        <v>1014</v>
      </c>
      <c r="D581" s="11" t="s">
        <v>1015</v>
      </c>
      <c r="E581" s="11" t="s">
        <v>103</v>
      </c>
      <c r="F581" s="11" t="s">
        <v>42</v>
      </c>
      <c r="G581" s="11">
        <v>1</v>
      </c>
      <c r="H581" s="11">
        <v>6000</v>
      </c>
      <c r="I581" s="11">
        <v>0.2</v>
      </c>
      <c r="J581" s="11">
        <v>4800</v>
      </c>
      <c r="K581" s="11">
        <v>3977.17</v>
      </c>
      <c r="L581" s="11">
        <v>822.83</v>
      </c>
      <c r="M581" s="11" t="s">
        <v>43</v>
      </c>
      <c r="N581" s="11" t="s">
        <v>44</v>
      </c>
      <c r="O581" s="11" t="s">
        <v>45</v>
      </c>
      <c r="P581" s="11" t="s">
        <v>46</v>
      </c>
      <c r="Q581" s="11" t="s">
        <v>26</v>
      </c>
    </row>
    <row r="582" spans="1:17" x14ac:dyDescent="0.25">
      <c r="A582" s="11" t="s">
        <v>1089</v>
      </c>
      <c r="B582" s="12">
        <v>45992</v>
      </c>
      <c r="C582" s="11" t="s">
        <v>873</v>
      </c>
      <c r="D582" s="11" t="s">
        <v>874</v>
      </c>
      <c r="E582" s="11" t="s">
        <v>30</v>
      </c>
      <c r="F582" s="11" t="s">
        <v>31</v>
      </c>
      <c r="G582" s="11">
        <v>1</v>
      </c>
      <c r="H582" s="11">
        <v>1200</v>
      </c>
      <c r="I582" s="11">
        <v>0.05</v>
      </c>
      <c r="J582" s="11">
        <v>1140</v>
      </c>
      <c r="K582" s="11">
        <v>994.57</v>
      </c>
      <c r="L582" s="11">
        <v>145.43</v>
      </c>
      <c r="M582" s="11" t="s">
        <v>99</v>
      </c>
      <c r="N582" s="11" t="s">
        <v>71</v>
      </c>
      <c r="O582" s="11" t="s">
        <v>45</v>
      </c>
      <c r="P582" s="11" t="s">
        <v>55</v>
      </c>
      <c r="Q582" s="11" t="s">
        <v>26</v>
      </c>
    </row>
    <row r="583" spans="1:17" x14ac:dyDescent="0.25">
      <c r="A583" s="11" t="s">
        <v>1090</v>
      </c>
      <c r="B583" s="12">
        <v>45947</v>
      </c>
      <c r="C583" s="11" t="s">
        <v>1060</v>
      </c>
      <c r="D583" s="11" t="s">
        <v>1061</v>
      </c>
      <c r="E583" s="11" t="s">
        <v>141</v>
      </c>
      <c r="F583" s="11" t="s">
        <v>21</v>
      </c>
      <c r="G583" s="11">
        <v>3</v>
      </c>
      <c r="H583" s="11">
        <v>22000</v>
      </c>
      <c r="I583" s="13">
        <v>0.2</v>
      </c>
      <c r="J583" s="11">
        <v>52800</v>
      </c>
      <c r="K583" s="11">
        <v>50526.46</v>
      </c>
      <c r="L583" s="11">
        <v>2273.54</v>
      </c>
      <c r="M583" s="11" t="s">
        <v>80</v>
      </c>
      <c r="N583" s="11" t="s">
        <v>81</v>
      </c>
      <c r="O583" s="11" t="s">
        <v>32</v>
      </c>
      <c r="P583" s="11" t="s">
        <v>95</v>
      </c>
      <c r="Q583" s="11" t="s">
        <v>26</v>
      </c>
    </row>
    <row r="584" spans="1:17" x14ac:dyDescent="0.25">
      <c r="A584" s="11" t="s">
        <v>1091</v>
      </c>
      <c r="B584" s="12">
        <v>45952</v>
      </c>
      <c r="C584" s="11" t="s">
        <v>366</v>
      </c>
      <c r="D584" s="11" t="s">
        <v>367</v>
      </c>
      <c r="E584" s="11" t="s">
        <v>85</v>
      </c>
      <c r="F584" s="11" t="s">
        <v>86</v>
      </c>
      <c r="G584" s="11">
        <v>4</v>
      </c>
      <c r="H584" s="11">
        <v>450</v>
      </c>
      <c r="I584" s="11">
        <v>0.2</v>
      </c>
      <c r="J584" s="11">
        <v>1440</v>
      </c>
      <c r="K584" s="11">
        <v>1348.82</v>
      </c>
      <c r="L584" s="11">
        <v>91.18</v>
      </c>
      <c r="M584" s="11" t="s">
        <v>43</v>
      </c>
      <c r="N584" s="11" t="s">
        <v>44</v>
      </c>
      <c r="O584" s="11" t="s">
        <v>45</v>
      </c>
      <c r="P584" s="11" t="s">
        <v>95</v>
      </c>
      <c r="Q584" s="11" t="s">
        <v>26</v>
      </c>
    </row>
    <row r="585" spans="1:17" x14ac:dyDescent="0.25">
      <c r="A585" s="11" t="s">
        <v>1092</v>
      </c>
      <c r="B585" s="12">
        <v>45950</v>
      </c>
      <c r="C585" s="11" t="s">
        <v>1093</v>
      </c>
      <c r="D585" s="11" t="s">
        <v>1094</v>
      </c>
      <c r="E585" s="11" t="s">
        <v>66</v>
      </c>
      <c r="F585" s="11" t="s">
        <v>31</v>
      </c>
      <c r="G585" s="11">
        <v>1</v>
      </c>
      <c r="H585" s="11">
        <v>3500</v>
      </c>
      <c r="I585" s="13">
        <v>0.15</v>
      </c>
      <c r="J585" s="11">
        <v>2975</v>
      </c>
      <c r="K585" s="11">
        <v>2596.35</v>
      </c>
      <c r="L585" s="11">
        <v>378.65</v>
      </c>
      <c r="M585" s="11" t="s">
        <v>99</v>
      </c>
      <c r="N585" s="11" t="s">
        <v>71</v>
      </c>
      <c r="O585" s="11" t="s">
        <v>32</v>
      </c>
      <c r="P585" s="11" t="s">
        <v>37</v>
      </c>
      <c r="Q585" s="11" t="s">
        <v>47</v>
      </c>
    </row>
    <row r="586" spans="1:17" x14ac:dyDescent="0.25">
      <c r="A586" s="11" t="s">
        <v>1095</v>
      </c>
      <c r="B586" s="12">
        <v>45904</v>
      </c>
      <c r="C586" s="11" t="s">
        <v>230</v>
      </c>
      <c r="D586" s="11" t="s">
        <v>231</v>
      </c>
      <c r="E586" s="11" t="s">
        <v>30</v>
      </c>
      <c r="F586" s="11" t="s">
        <v>31</v>
      </c>
      <c r="G586" s="11">
        <v>2</v>
      </c>
      <c r="H586" s="11">
        <v>1200</v>
      </c>
      <c r="I586" s="11">
        <v>0.05</v>
      </c>
      <c r="J586" s="11">
        <v>2280</v>
      </c>
      <c r="K586" s="11">
        <v>1778.22</v>
      </c>
      <c r="L586" s="11">
        <v>501.78</v>
      </c>
      <c r="M586" s="11" t="s">
        <v>22</v>
      </c>
      <c r="N586" s="11" t="s">
        <v>23</v>
      </c>
      <c r="O586" s="11" t="s">
        <v>24</v>
      </c>
      <c r="P586" s="11" t="s">
        <v>95</v>
      </c>
      <c r="Q586" s="11" t="s">
        <v>47</v>
      </c>
    </row>
    <row r="587" spans="1:17" x14ac:dyDescent="0.25">
      <c r="A587" s="11" t="s">
        <v>1096</v>
      </c>
      <c r="B587" s="12">
        <v>45794</v>
      </c>
      <c r="C587" s="11" t="s">
        <v>937</v>
      </c>
      <c r="D587" s="11" t="s">
        <v>938</v>
      </c>
      <c r="E587" s="11" t="s">
        <v>116</v>
      </c>
      <c r="F587" s="11" t="s">
        <v>94</v>
      </c>
      <c r="G587" s="11">
        <v>2</v>
      </c>
      <c r="H587" s="11">
        <v>1800</v>
      </c>
      <c r="I587" s="11">
        <v>0</v>
      </c>
      <c r="J587" s="11">
        <v>3600</v>
      </c>
      <c r="K587" s="11">
        <v>2906.96</v>
      </c>
      <c r="L587" s="11">
        <v>693.04</v>
      </c>
      <c r="M587" s="11" t="s">
        <v>75</v>
      </c>
      <c r="N587" s="11" t="s">
        <v>76</v>
      </c>
      <c r="O587" s="11" t="s">
        <v>24</v>
      </c>
      <c r="P587" s="11" t="s">
        <v>55</v>
      </c>
      <c r="Q587" s="11" t="s">
        <v>26</v>
      </c>
    </row>
    <row r="588" spans="1:17" x14ac:dyDescent="0.25">
      <c r="A588" s="11" t="s">
        <v>1097</v>
      </c>
      <c r="B588" s="12">
        <v>45836</v>
      </c>
      <c r="C588" s="11" t="s">
        <v>937</v>
      </c>
      <c r="D588" s="11" t="s">
        <v>938</v>
      </c>
      <c r="E588" s="11" t="s">
        <v>30</v>
      </c>
      <c r="F588" s="11" t="s">
        <v>31</v>
      </c>
      <c r="G588" s="11">
        <v>4</v>
      </c>
      <c r="H588" s="11">
        <v>1200</v>
      </c>
      <c r="I588" s="11">
        <v>0.1</v>
      </c>
      <c r="J588" s="11">
        <v>4320</v>
      </c>
      <c r="K588" s="11">
        <v>3500.36</v>
      </c>
      <c r="L588" s="11">
        <v>819.64</v>
      </c>
      <c r="M588" s="11" t="s">
        <v>22</v>
      </c>
      <c r="N588" s="11" t="s">
        <v>23</v>
      </c>
      <c r="O588" s="11" t="s">
        <v>24</v>
      </c>
      <c r="P588" s="11" t="s">
        <v>55</v>
      </c>
      <c r="Q588" s="11" t="s">
        <v>26</v>
      </c>
    </row>
    <row r="589" spans="1:17" x14ac:dyDescent="0.25">
      <c r="A589" s="11" t="s">
        <v>1098</v>
      </c>
      <c r="B589" s="12">
        <v>45884</v>
      </c>
      <c r="C589" s="11" t="s">
        <v>110</v>
      </c>
      <c r="D589" s="11" t="s">
        <v>111</v>
      </c>
      <c r="E589" s="11" t="s">
        <v>93</v>
      </c>
      <c r="F589" s="11" t="s">
        <v>94</v>
      </c>
      <c r="G589" s="11">
        <v>3</v>
      </c>
      <c r="H589" s="11">
        <v>2800</v>
      </c>
      <c r="I589" s="13">
        <v>0.2</v>
      </c>
      <c r="J589" s="11">
        <v>6720</v>
      </c>
      <c r="K589" s="11">
        <v>5546.7</v>
      </c>
      <c r="L589" s="11">
        <v>1173.3</v>
      </c>
      <c r="M589" s="11" t="s">
        <v>80</v>
      </c>
      <c r="N589" s="11" t="s">
        <v>81</v>
      </c>
      <c r="O589" s="11" t="s">
        <v>32</v>
      </c>
      <c r="P589" s="11" t="s">
        <v>95</v>
      </c>
      <c r="Q589" s="11" t="s">
        <v>60</v>
      </c>
    </row>
    <row r="590" spans="1:17" x14ac:dyDescent="0.25">
      <c r="A590" s="11" t="s">
        <v>1099</v>
      </c>
      <c r="B590" s="12">
        <v>45715</v>
      </c>
      <c r="C590" s="11" t="s">
        <v>587</v>
      </c>
      <c r="D590" s="11" t="s">
        <v>588</v>
      </c>
      <c r="E590" s="11" t="s">
        <v>54</v>
      </c>
      <c r="F590" s="11" t="s">
        <v>31</v>
      </c>
      <c r="G590" s="11">
        <v>2</v>
      </c>
      <c r="H590" s="11">
        <v>2800</v>
      </c>
      <c r="I590" s="13">
        <v>0</v>
      </c>
      <c r="J590" s="11">
        <v>5600</v>
      </c>
      <c r="K590" s="11">
        <v>4862.24</v>
      </c>
      <c r="L590" s="11">
        <v>737.76</v>
      </c>
      <c r="M590" s="11" t="s">
        <v>99</v>
      </c>
      <c r="N590" s="11" t="s">
        <v>71</v>
      </c>
      <c r="O590" s="11" t="s">
        <v>32</v>
      </c>
      <c r="P590" s="11" t="s">
        <v>46</v>
      </c>
      <c r="Q590" s="11" t="s">
        <v>26</v>
      </c>
    </row>
    <row r="591" spans="1:17" x14ac:dyDescent="0.25">
      <c r="A591" s="11" t="s">
        <v>1100</v>
      </c>
      <c r="B591" s="12">
        <v>45888</v>
      </c>
      <c r="C591" s="11" t="s">
        <v>1101</v>
      </c>
      <c r="D591" s="11" t="s">
        <v>1102</v>
      </c>
      <c r="E591" s="11" t="s">
        <v>66</v>
      </c>
      <c r="F591" s="11" t="s">
        <v>31</v>
      </c>
      <c r="G591" s="11">
        <v>1</v>
      </c>
      <c r="H591" s="11">
        <v>3500</v>
      </c>
      <c r="I591" s="11">
        <v>0.1</v>
      </c>
      <c r="J591" s="11">
        <v>3150</v>
      </c>
      <c r="K591" s="11">
        <v>2542.16</v>
      </c>
      <c r="L591" s="11">
        <v>607.84</v>
      </c>
      <c r="M591" s="11" t="s">
        <v>70</v>
      </c>
      <c r="N591" s="11" t="s">
        <v>71</v>
      </c>
      <c r="O591" s="11" t="s">
        <v>24</v>
      </c>
      <c r="P591" s="11" t="s">
        <v>25</v>
      </c>
      <c r="Q591" s="11" t="s">
        <v>26</v>
      </c>
    </row>
    <row r="592" spans="1:17" x14ac:dyDescent="0.25">
      <c r="A592" s="11" t="s">
        <v>1103</v>
      </c>
      <c r="B592" s="12">
        <v>45790</v>
      </c>
      <c r="C592" s="11" t="s">
        <v>318</v>
      </c>
      <c r="D592" s="11" t="s">
        <v>319</v>
      </c>
      <c r="E592" s="11" t="s">
        <v>112</v>
      </c>
      <c r="F592" s="11" t="s">
        <v>94</v>
      </c>
      <c r="G592" s="11">
        <v>5</v>
      </c>
      <c r="H592" s="11">
        <v>800</v>
      </c>
      <c r="I592" s="13">
        <v>0.2</v>
      </c>
      <c r="J592" s="11">
        <v>3200</v>
      </c>
      <c r="K592" s="11">
        <v>3271.53</v>
      </c>
      <c r="L592" s="11">
        <v>-71.53</v>
      </c>
      <c r="M592" s="11" t="s">
        <v>70</v>
      </c>
      <c r="N592" s="11" t="s">
        <v>71</v>
      </c>
      <c r="O592" s="11" t="s">
        <v>32</v>
      </c>
      <c r="P592" s="11" t="s">
        <v>55</v>
      </c>
      <c r="Q592" s="11" t="s">
        <v>26</v>
      </c>
    </row>
    <row r="593" spans="1:17" x14ac:dyDescent="0.25">
      <c r="A593" s="11" t="s">
        <v>1104</v>
      </c>
      <c r="B593" s="12">
        <v>45688</v>
      </c>
      <c r="C593" s="11" t="s">
        <v>519</v>
      </c>
      <c r="D593" s="11" t="s">
        <v>520</v>
      </c>
      <c r="E593" s="11" t="s">
        <v>141</v>
      </c>
      <c r="F593" s="11" t="s">
        <v>21</v>
      </c>
      <c r="G593" s="11">
        <v>3</v>
      </c>
      <c r="H593" s="11">
        <v>22000</v>
      </c>
      <c r="I593" s="11">
        <v>0.05</v>
      </c>
      <c r="J593" s="11">
        <v>62700</v>
      </c>
      <c r="K593" s="11">
        <v>54879.88</v>
      </c>
      <c r="L593" s="11">
        <v>7820.12</v>
      </c>
      <c r="M593" s="11" t="s">
        <v>36</v>
      </c>
      <c r="N593" s="11" t="s">
        <v>23</v>
      </c>
      <c r="O593" s="11" t="s">
        <v>24</v>
      </c>
      <c r="P593" s="11" t="s">
        <v>46</v>
      </c>
      <c r="Q593" s="11" t="s">
        <v>26</v>
      </c>
    </row>
    <row r="594" spans="1:17" x14ac:dyDescent="0.25">
      <c r="A594" s="11" t="s">
        <v>1105</v>
      </c>
      <c r="B594" s="12">
        <v>45856</v>
      </c>
      <c r="C594" s="11" t="s">
        <v>577</v>
      </c>
      <c r="D594" s="11" t="s">
        <v>578</v>
      </c>
      <c r="E594" s="11" t="s">
        <v>131</v>
      </c>
      <c r="F594" s="11" t="s">
        <v>21</v>
      </c>
      <c r="G594" s="11">
        <v>1</v>
      </c>
      <c r="H594" s="11">
        <v>1600</v>
      </c>
      <c r="I594" s="11">
        <v>0</v>
      </c>
      <c r="J594" s="11">
        <v>1600</v>
      </c>
      <c r="K594" s="11">
        <v>1353.57</v>
      </c>
      <c r="L594" s="11">
        <v>246.43</v>
      </c>
      <c r="M594" s="11" t="s">
        <v>36</v>
      </c>
      <c r="N594" s="11" t="s">
        <v>23</v>
      </c>
      <c r="O594" s="11" t="s">
        <v>24</v>
      </c>
      <c r="P594" s="11" t="s">
        <v>46</v>
      </c>
      <c r="Q594" s="11" t="s">
        <v>26</v>
      </c>
    </row>
    <row r="595" spans="1:17" x14ac:dyDescent="0.25">
      <c r="A595" s="11" t="s">
        <v>1106</v>
      </c>
      <c r="B595" s="12">
        <v>45776</v>
      </c>
      <c r="C595" s="11" t="s">
        <v>201</v>
      </c>
      <c r="D595" s="11" t="s">
        <v>202</v>
      </c>
      <c r="E595" s="11" t="s">
        <v>158</v>
      </c>
      <c r="F595" s="11" t="s">
        <v>21</v>
      </c>
      <c r="G595" s="11">
        <v>3</v>
      </c>
      <c r="H595" s="11">
        <v>55000</v>
      </c>
      <c r="I595" s="13">
        <v>0.15</v>
      </c>
      <c r="J595" s="11">
        <v>140250</v>
      </c>
      <c r="K595" s="11">
        <v>144312.42000000001</v>
      </c>
      <c r="L595" s="11">
        <v>-4062.42</v>
      </c>
      <c r="M595" s="11" t="s">
        <v>75</v>
      </c>
      <c r="N595" s="11" t="s">
        <v>76</v>
      </c>
      <c r="O595" s="11" t="s">
        <v>32</v>
      </c>
      <c r="P595" s="11" t="s">
        <v>46</v>
      </c>
      <c r="Q595" s="11" t="s">
        <v>26</v>
      </c>
    </row>
    <row r="596" spans="1:17" x14ac:dyDescent="0.25">
      <c r="A596" s="11" t="s">
        <v>1107</v>
      </c>
      <c r="B596" s="12">
        <v>45914</v>
      </c>
      <c r="C596" s="11" t="s">
        <v>166</v>
      </c>
      <c r="D596" s="11" t="s">
        <v>167</v>
      </c>
      <c r="E596" s="11" t="s">
        <v>62</v>
      </c>
      <c r="F596" s="11" t="s">
        <v>21</v>
      </c>
      <c r="G596" s="11">
        <v>2</v>
      </c>
      <c r="H596" s="11">
        <v>1800</v>
      </c>
      <c r="I596" s="13">
        <v>0.05</v>
      </c>
      <c r="J596" s="11">
        <v>3420</v>
      </c>
      <c r="K596" s="11">
        <v>3107.02</v>
      </c>
      <c r="L596" s="11">
        <v>312.98</v>
      </c>
      <c r="M596" s="11" t="s">
        <v>70</v>
      </c>
      <c r="N596" s="11" t="s">
        <v>71</v>
      </c>
      <c r="O596" s="11" t="s">
        <v>32</v>
      </c>
      <c r="P596" s="11" t="s">
        <v>55</v>
      </c>
      <c r="Q596" s="11" t="s">
        <v>26</v>
      </c>
    </row>
    <row r="597" spans="1:17" x14ac:dyDescent="0.25">
      <c r="A597" s="11" t="s">
        <v>1108</v>
      </c>
      <c r="B597" s="12">
        <v>45859</v>
      </c>
      <c r="C597" s="11" t="s">
        <v>1109</v>
      </c>
      <c r="D597" s="11" t="s">
        <v>1110</v>
      </c>
      <c r="E597" s="11" t="s">
        <v>103</v>
      </c>
      <c r="F597" s="11" t="s">
        <v>42</v>
      </c>
      <c r="G597" s="11">
        <v>3</v>
      </c>
      <c r="H597" s="11">
        <v>6000</v>
      </c>
      <c r="I597" s="11">
        <v>0.15</v>
      </c>
      <c r="J597" s="11">
        <v>15300</v>
      </c>
      <c r="K597" s="11">
        <v>13135.67</v>
      </c>
      <c r="L597" s="11">
        <v>2164.33</v>
      </c>
      <c r="M597" s="11" t="s">
        <v>80</v>
      </c>
      <c r="N597" s="11" t="s">
        <v>81</v>
      </c>
      <c r="O597" s="11" t="s">
        <v>45</v>
      </c>
      <c r="P597" s="11" t="s">
        <v>46</v>
      </c>
      <c r="Q597" s="11" t="s">
        <v>60</v>
      </c>
    </row>
    <row r="598" spans="1:17" x14ac:dyDescent="0.25">
      <c r="A598" s="11" t="s">
        <v>1111</v>
      </c>
      <c r="B598" s="12">
        <v>45799</v>
      </c>
      <c r="C598" s="11" t="s">
        <v>627</v>
      </c>
      <c r="D598" s="11" t="s">
        <v>628</v>
      </c>
      <c r="E598" s="11" t="s">
        <v>103</v>
      </c>
      <c r="F598" s="11" t="s">
        <v>42</v>
      </c>
      <c r="G598" s="11">
        <v>2</v>
      </c>
      <c r="H598" s="11">
        <v>6000</v>
      </c>
      <c r="I598" s="11">
        <v>0.2</v>
      </c>
      <c r="J598" s="11">
        <v>9600</v>
      </c>
      <c r="K598" s="11">
        <v>8511.2000000000007</v>
      </c>
      <c r="L598" s="11">
        <v>1088.8</v>
      </c>
      <c r="M598" s="11" t="s">
        <v>99</v>
      </c>
      <c r="N598" s="11" t="s">
        <v>71</v>
      </c>
      <c r="O598" s="11" t="s">
        <v>45</v>
      </c>
      <c r="P598" s="11" t="s">
        <v>55</v>
      </c>
      <c r="Q598" s="11" t="s">
        <v>47</v>
      </c>
    </row>
    <row r="599" spans="1:17" x14ac:dyDescent="0.25">
      <c r="A599" s="11" t="s">
        <v>1112</v>
      </c>
      <c r="B599" s="12">
        <v>45832</v>
      </c>
      <c r="C599" s="11" t="s">
        <v>1113</v>
      </c>
      <c r="D599" s="11" t="s">
        <v>1114</v>
      </c>
      <c r="E599" s="11" t="s">
        <v>41</v>
      </c>
      <c r="F599" s="11" t="s">
        <v>42</v>
      </c>
      <c r="G599" s="11">
        <v>2</v>
      </c>
      <c r="H599" s="11">
        <v>7500</v>
      </c>
      <c r="I599" s="11">
        <v>0.05</v>
      </c>
      <c r="J599" s="11">
        <v>14250</v>
      </c>
      <c r="K599" s="11">
        <v>10223.549999999999</v>
      </c>
      <c r="L599" s="11">
        <v>4026.45</v>
      </c>
      <c r="M599" s="11" t="s">
        <v>75</v>
      </c>
      <c r="N599" s="11" t="s">
        <v>76</v>
      </c>
      <c r="O599" s="11" t="s">
        <v>24</v>
      </c>
      <c r="P599" s="11" t="s">
        <v>37</v>
      </c>
      <c r="Q599" s="11" t="s">
        <v>47</v>
      </c>
    </row>
    <row r="600" spans="1:17" x14ac:dyDescent="0.25">
      <c r="A600" s="11" t="s">
        <v>1115</v>
      </c>
      <c r="B600" s="12">
        <v>45951</v>
      </c>
      <c r="C600" s="11" t="s">
        <v>824</v>
      </c>
      <c r="D600" s="11" t="s">
        <v>825</v>
      </c>
      <c r="E600" s="11" t="s">
        <v>116</v>
      </c>
      <c r="F600" s="11" t="s">
        <v>94</v>
      </c>
      <c r="G600" s="11">
        <v>4</v>
      </c>
      <c r="H600" s="11">
        <v>1800</v>
      </c>
      <c r="I600" s="11">
        <v>0.05</v>
      </c>
      <c r="J600" s="11">
        <v>6840</v>
      </c>
      <c r="K600" s="11">
        <v>6287.21</v>
      </c>
      <c r="L600" s="11">
        <v>552.79</v>
      </c>
      <c r="M600" s="11" t="s">
        <v>80</v>
      </c>
      <c r="N600" s="11" t="s">
        <v>81</v>
      </c>
      <c r="O600" s="11" t="s">
        <v>24</v>
      </c>
      <c r="P600" s="11" t="s">
        <v>46</v>
      </c>
      <c r="Q600" s="11" t="s">
        <v>26</v>
      </c>
    </row>
    <row r="601" spans="1:17" x14ac:dyDescent="0.25">
      <c r="A601" s="11" t="s">
        <v>1116</v>
      </c>
      <c r="B601" s="12">
        <v>45955</v>
      </c>
      <c r="C601" s="11" t="s">
        <v>869</v>
      </c>
      <c r="D601" s="11" t="s">
        <v>870</v>
      </c>
      <c r="E601" s="11" t="s">
        <v>107</v>
      </c>
      <c r="F601" s="11" t="s">
        <v>108</v>
      </c>
      <c r="G601" s="11">
        <v>2</v>
      </c>
      <c r="H601" s="11">
        <v>1400</v>
      </c>
      <c r="I601" s="11">
        <v>0.05</v>
      </c>
      <c r="J601" s="11">
        <v>2660</v>
      </c>
      <c r="K601" s="11">
        <v>1908.94</v>
      </c>
      <c r="L601" s="11">
        <v>751.06</v>
      </c>
      <c r="M601" s="11" t="s">
        <v>22</v>
      </c>
      <c r="N601" s="11" t="s">
        <v>23</v>
      </c>
      <c r="O601" s="11" t="s">
        <v>24</v>
      </c>
      <c r="P601" s="11" t="s">
        <v>25</v>
      </c>
      <c r="Q601" s="11" t="s">
        <v>26</v>
      </c>
    </row>
    <row r="602" spans="1:17" x14ac:dyDescent="0.25">
      <c r="A602" s="11" t="s">
        <v>1117</v>
      </c>
      <c r="B602" s="12">
        <v>45738</v>
      </c>
      <c r="C602" s="11" t="s">
        <v>254</v>
      </c>
      <c r="D602" s="11" t="s">
        <v>255</v>
      </c>
      <c r="E602" s="11" t="s">
        <v>30</v>
      </c>
      <c r="F602" s="11" t="s">
        <v>31</v>
      </c>
      <c r="G602" s="11">
        <v>2</v>
      </c>
      <c r="H602" s="11">
        <v>1200</v>
      </c>
      <c r="I602" s="11">
        <v>0.2</v>
      </c>
      <c r="J602" s="11">
        <v>1920</v>
      </c>
      <c r="K602" s="11">
        <v>1867.65</v>
      </c>
      <c r="L602" s="11">
        <v>52.35</v>
      </c>
      <c r="M602" s="11" t="s">
        <v>59</v>
      </c>
      <c r="N602" s="11" t="s">
        <v>59</v>
      </c>
      <c r="O602" s="11" t="s">
        <v>24</v>
      </c>
      <c r="P602" s="11" t="s">
        <v>55</v>
      </c>
      <c r="Q602" s="11" t="s">
        <v>26</v>
      </c>
    </row>
    <row r="603" spans="1:17" x14ac:dyDescent="0.25">
      <c r="A603" s="11" t="s">
        <v>1118</v>
      </c>
      <c r="B603" s="12">
        <v>45821</v>
      </c>
      <c r="C603" s="11" t="s">
        <v>248</v>
      </c>
      <c r="D603" s="11" t="s">
        <v>249</v>
      </c>
      <c r="E603" s="11" t="s">
        <v>66</v>
      </c>
      <c r="F603" s="11" t="s">
        <v>31</v>
      </c>
      <c r="G603" s="11">
        <v>2</v>
      </c>
      <c r="H603" s="11">
        <v>3500</v>
      </c>
      <c r="I603" s="11">
        <v>0</v>
      </c>
      <c r="J603" s="11">
        <v>7000</v>
      </c>
      <c r="K603" s="11">
        <v>5212.12</v>
      </c>
      <c r="L603" s="11">
        <v>1787.88</v>
      </c>
      <c r="M603" s="11" t="s">
        <v>75</v>
      </c>
      <c r="N603" s="11" t="s">
        <v>76</v>
      </c>
      <c r="O603" s="11" t="s">
        <v>45</v>
      </c>
      <c r="P603" s="11" t="s">
        <v>46</v>
      </c>
      <c r="Q603" s="11" t="s">
        <v>26</v>
      </c>
    </row>
    <row r="604" spans="1:17" x14ac:dyDescent="0.25">
      <c r="A604" s="11" t="s">
        <v>1119</v>
      </c>
      <c r="B604" s="12">
        <v>45752</v>
      </c>
      <c r="C604" s="11" t="s">
        <v>548</v>
      </c>
      <c r="D604" s="11" t="s">
        <v>549</v>
      </c>
      <c r="E604" s="11" t="s">
        <v>112</v>
      </c>
      <c r="F604" s="11" t="s">
        <v>94</v>
      </c>
      <c r="G604" s="11">
        <v>1</v>
      </c>
      <c r="H604" s="11">
        <v>800</v>
      </c>
      <c r="I604" s="11">
        <v>0.05</v>
      </c>
      <c r="J604" s="11">
        <v>760</v>
      </c>
      <c r="K604" s="11">
        <v>701.42</v>
      </c>
      <c r="L604" s="11">
        <v>58.58</v>
      </c>
      <c r="M604" s="11" t="s">
        <v>99</v>
      </c>
      <c r="N604" s="11" t="s">
        <v>71</v>
      </c>
      <c r="O604" s="11" t="s">
        <v>24</v>
      </c>
      <c r="P604" s="11" t="s">
        <v>46</v>
      </c>
      <c r="Q604" s="11" t="s">
        <v>47</v>
      </c>
    </row>
    <row r="605" spans="1:17" x14ac:dyDescent="0.25">
      <c r="A605" s="11" t="s">
        <v>1120</v>
      </c>
      <c r="B605" s="12">
        <v>45776</v>
      </c>
      <c r="C605" s="11" t="s">
        <v>879</v>
      </c>
      <c r="D605" s="11" t="s">
        <v>880</v>
      </c>
      <c r="E605" s="11" t="s">
        <v>116</v>
      </c>
      <c r="F605" s="11" t="s">
        <v>94</v>
      </c>
      <c r="G605" s="11">
        <v>5</v>
      </c>
      <c r="H605" s="11">
        <v>1800</v>
      </c>
      <c r="I605" s="11">
        <v>0.05</v>
      </c>
      <c r="J605" s="11">
        <v>8550</v>
      </c>
      <c r="K605" s="11">
        <v>6014.51</v>
      </c>
      <c r="L605" s="11">
        <v>2535.4899999999998</v>
      </c>
      <c r="M605" s="11" t="s">
        <v>99</v>
      </c>
      <c r="N605" s="11" t="s">
        <v>71</v>
      </c>
      <c r="O605" s="11" t="s">
        <v>45</v>
      </c>
      <c r="P605" s="11" t="s">
        <v>95</v>
      </c>
      <c r="Q605" s="11" t="s">
        <v>47</v>
      </c>
    </row>
    <row r="606" spans="1:17" x14ac:dyDescent="0.25">
      <c r="A606" s="11" t="s">
        <v>1121</v>
      </c>
      <c r="B606" s="12">
        <v>45856</v>
      </c>
      <c r="C606" s="11" t="s">
        <v>205</v>
      </c>
      <c r="D606" s="11" t="s">
        <v>206</v>
      </c>
      <c r="E606" s="11" t="s">
        <v>123</v>
      </c>
      <c r="F606" s="11" t="s">
        <v>21</v>
      </c>
      <c r="G606" s="11">
        <v>3</v>
      </c>
      <c r="H606" s="11">
        <v>2200</v>
      </c>
      <c r="I606" s="13">
        <v>0.05</v>
      </c>
      <c r="J606" s="11">
        <v>6270</v>
      </c>
      <c r="K606" s="11">
        <v>4498.74</v>
      </c>
      <c r="L606" s="11">
        <v>1771.26</v>
      </c>
      <c r="M606" s="11" t="s">
        <v>70</v>
      </c>
      <c r="N606" s="11" t="s">
        <v>71</v>
      </c>
      <c r="O606" s="11" t="s">
        <v>32</v>
      </c>
      <c r="P606" s="11" t="s">
        <v>95</v>
      </c>
      <c r="Q606" s="11" t="s">
        <v>26</v>
      </c>
    </row>
    <row r="607" spans="1:17" x14ac:dyDescent="0.25">
      <c r="A607" s="11" t="s">
        <v>1122</v>
      </c>
      <c r="B607" s="12">
        <v>45869</v>
      </c>
      <c r="C607" s="11" t="s">
        <v>333</v>
      </c>
      <c r="D607" s="11" t="s">
        <v>334</v>
      </c>
      <c r="E607" s="11" t="s">
        <v>30</v>
      </c>
      <c r="F607" s="11" t="s">
        <v>31</v>
      </c>
      <c r="G607" s="11">
        <v>1</v>
      </c>
      <c r="H607" s="11">
        <v>1200</v>
      </c>
      <c r="I607" s="13">
        <v>0.1</v>
      </c>
      <c r="J607" s="11">
        <v>1080</v>
      </c>
      <c r="K607" s="11">
        <v>965.29</v>
      </c>
      <c r="L607" s="11">
        <v>114.71</v>
      </c>
      <c r="M607" s="11" t="s">
        <v>22</v>
      </c>
      <c r="N607" s="11" t="s">
        <v>23</v>
      </c>
      <c r="O607" s="11" t="s">
        <v>32</v>
      </c>
      <c r="P607" s="11" t="s">
        <v>95</v>
      </c>
      <c r="Q607" s="11" t="s">
        <v>26</v>
      </c>
    </row>
    <row r="608" spans="1:17" x14ac:dyDescent="0.25">
      <c r="A608" s="11" t="s">
        <v>1123</v>
      </c>
      <c r="B608" s="12">
        <v>45908</v>
      </c>
      <c r="C608" s="11" t="s">
        <v>315</v>
      </c>
      <c r="D608" s="11" t="s">
        <v>316</v>
      </c>
      <c r="E608" s="11" t="s">
        <v>93</v>
      </c>
      <c r="F608" s="11" t="s">
        <v>94</v>
      </c>
      <c r="G608" s="11">
        <v>4</v>
      </c>
      <c r="H608" s="11">
        <v>2800</v>
      </c>
      <c r="I608" s="13">
        <v>0.2</v>
      </c>
      <c r="J608" s="11">
        <v>8960</v>
      </c>
      <c r="K608" s="11">
        <v>8458.64</v>
      </c>
      <c r="L608" s="11">
        <v>501.36</v>
      </c>
      <c r="M608" s="11" t="s">
        <v>59</v>
      </c>
      <c r="N608" s="11" t="s">
        <v>59</v>
      </c>
      <c r="O608" s="11" t="s">
        <v>32</v>
      </c>
      <c r="P608" s="11" t="s">
        <v>37</v>
      </c>
      <c r="Q608" s="11" t="s">
        <v>26</v>
      </c>
    </row>
    <row r="609" spans="1:17" x14ac:dyDescent="0.25">
      <c r="A609" s="11" t="s">
        <v>1124</v>
      </c>
      <c r="B609" s="12">
        <v>45818</v>
      </c>
      <c r="C609" s="11" t="s">
        <v>1125</v>
      </c>
      <c r="D609" s="11" t="s">
        <v>1126</v>
      </c>
      <c r="E609" s="11" t="s">
        <v>141</v>
      </c>
      <c r="F609" s="11" t="s">
        <v>21</v>
      </c>
      <c r="G609" s="11">
        <v>5</v>
      </c>
      <c r="H609" s="11">
        <v>22000</v>
      </c>
      <c r="I609" s="11">
        <v>0.15</v>
      </c>
      <c r="J609" s="11">
        <v>93500</v>
      </c>
      <c r="K609" s="11">
        <v>95260.22</v>
      </c>
      <c r="L609" s="11">
        <v>-1760.22</v>
      </c>
      <c r="M609" s="11" t="s">
        <v>75</v>
      </c>
      <c r="N609" s="11" t="s">
        <v>76</v>
      </c>
      <c r="O609" s="11" t="s">
        <v>24</v>
      </c>
      <c r="P609" s="11" t="s">
        <v>25</v>
      </c>
      <c r="Q609" s="11" t="s">
        <v>47</v>
      </c>
    </row>
    <row r="610" spans="1:17" x14ac:dyDescent="0.25">
      <c r="A610" s="11" t="s">
        <v>1127</v>
      </c>
      <c r="B610" s="12">
        <v>45889</v>
      </c>
      <c r="C610" s="11" t="s">
        <v>532</v>
      </c>
      <c r="D610" s="11" t="s">
        <v>533</v>
      </c>
      <c r="E610" s="11" t="s">
        <v>141</v>
      </c>
      <c r="F610" s="11" t="s">
        <v>21</v>
      </c>
      <c r="G610" s="11">
        <v>5</v>
      </c>
      <c r="H610" s="11">
        <v>22000</v>
      </c>
      <c r="I610" s="13">
        <v>0</v>
      </c>
      <c r="J610" s="11">
        <v>110000</v>
      </c>
      <c r="K610" s="11">
        <v>93707.5</v>
      </c>
      <c r="L610" s="11">
        <v>16292.5</v>
      </c>
      <c r="M610" s="11" t="s">
        <v>70</v>
      </c>
      <c r="N610" s="11" t="s">
        <v>71</v>
      </c>
      <c r="O610" s="11" t="s">
        <v>32</v>
      </c>
      <c r="P610" s="11" t="s">
        <v>25</v>
      </c>
      <c r="Q610" s="11" t="s">
        <v>47</v>
      </c>
    </row>
    <row r="611" spans="1:17" x14ac:dyDescent="0.25">
      <c r="A611" s="11" t="s">
        <v>1128</v>
      </c>
      <c r="B611" s="12">
        <v>45856</v>
      </c>
      <c r="C611" s="11" t="s">
        <v>571</v>
      </c>
      <c r="D611" s="11" t="s">
        <v>572</v>
      </c>
      <c r="E611" s="11" t="s">
        <v>85</v>
      </c>
      <c r="F611" s="11" t="s">
        <v>86</v>
      </c>
      <c r="G611" s="11">
        <v>1</v>
      </c>
      <c r="H611" s="11">
        <v>450</v>
      </c>
      <c r="I611" s="11">
        <v>0.2</v>
      </c>
      <c r="J611" s="11">
        <v>360</v>
      </c>
      <c r="K611" s="11">
        <v>322.64</v>
      </c>
      <c r="L611" s="11">
        <v>37.36</v>
      </c>
      <c r="M611" s="11" t="s">
        <v>99</v>
      </c>
      <c r="N611" s="11" t="s">
        <v>71</v>
      </c>
      <c r="O611" s="11" t="s">
        <v>45</v>
      </c>
      <c r="P611" s="11" t="s">
        <v>46</v>
      </c>
      <c r="Q611" s="11" t="s">
        <v>26</v>
      </c>
    </row>
    <row r="612" spans="1:17" x14ac:dyDescent="0.25">
      <c r="A612" s="11" t="s">
        <v>1129</v>
      </c>
      <c r="B612" s="12">
        <v>45808</v>
      </c>
      <c r="C612" s="11" t="s">
        <v>1063</v>
      </c>
      <c r="D612" s="11" t="s">
        <v>1064</v>
      </c>
      <c r="E612" s="11" t="s">
        <v>131</v>
      </c>
      <c r="F612" s="11" t="s">
        <v>21</v>
      </c>
      <c r="G612" s="11">
        <v>2</v>
      </c>
      <c r="H612" s="11">
        <v>1600</v>
      </c>
      <c r="I612" s="13">
        <v>0.15</v>
      </c>
      <c r="J612" s="11">
        <v>2720</v>
      </c>
      <c r="K612" s="11">
        <v>2460.4899999999998</v>
      </c>
      <c r="L612" s="11">
        <v>259.51</v>
      </c>
      <c r="M612" s="11" t="s">
        <v>99</v>
      </c>
      <c r="N612" s="11" t="s">
        <v>71</v>
      </c>
      <c r="O612" s="11" t="s">
        <v>32</v>
      </c>
      <c r="P612" s="11" t="s">
        <v>37</v>
      </c>
      <c r="Q612" s="11" t="s">
        <v>60</v>
      </c>
    </row>
    <row r="613" spans="1:17" x14ac:dyDescent="0.25">
      <c r="A613" s="11" t="s">
        <v>1130</v>
      </c>
      <c r="B613" s="12">
        <v>45715</v>
      </c>
      <c r="C613" s="11" t="s">
        <v>1014</v>
      </c>
      <c r="D613" s="11" t="s">
        <v>1015</v>
      </c>
      <c r="E613" s="11" t="s">
        <v>131</v>
      </c>
      <c r="F613" s="11" t="s">
        <v>21</v>
      </c>
      <c r="G613" s="11">
        <v>1</v>
      </c>
      <c r="H613" s="11">
        <v>1600</v>
      </c>
      <c r="I613" s="11">
        <v>0.2</v>
      </c>
      <c r="J613" s="11">
        <v>1280</v>
      </c>
      <c r="K613" s="11">
        <v>1255.44</v>
      </c>
      <c r="L613" s="11">
        <v>24.56</v>
      </c>
      <c r="M613" s="11" t="s">
        <v>80</v>
      </c>
      <c r="N613" s="11" t="s">
        <v>81</v>
      </c>
      <c r="O613" s="11" t="s">
        <v>24</v>
      </c>
      <c r="P613" s="11" t="s">
        <v>25</v>
      </c>
      <c r="Q613" s="11" t="s">
        <v>26</v>
      </c>
    </row>
    <row r="614" spans="1:17" x14ac:dyDescent="0.25">
      <c r="A614" s="11" t="s">
        <v>1131</v>
      </c>
      <c r="B614" s="12">
        <v>45888</v>
      </c>
      <c r="C614" s="11" t="s">
        <v>278</v>
      </c>
      <c r="D614" s="11" t="s">
        <v>279</v>
      </c>
      <c r="E614" s="11" t="s">
        <v>85</v>
      </c>
      <c r="F614" s="11" t="s">
        <v>86</v>
      </c>
      <c r="G614" s="11">
        <v>4</v>
      </c>
      <c r="H614" s="11">
        <v>450</v>
      </c>
      <c r="I614" s="11">
        <v>0.1</v>
      </c>
      <c r="J614" s="11">
        <v>1620</v>
      </c>
      <c r="K614" s="11">
        <v>1357.82</v>
      </c>
      <c r="L614" s="11">
        <v>262.18</v>
      </c>
      <c r="M614" s="11" t="s">
        <v>99</v>
      </c>
      <c r="N614" s="11" t="s">
        <v>71</v>
      </c>
      <c r="O614" s="11" t="s">
        <v>24</v>
      </c>
      <c r="P614" s="11" t="s">
        <v>95</v>
      </c>
      <c r="Q614" s="11" t="s">
        <v>26</v>
      </c>
    </row>
    <row r="615" spans="1:17" x14ac:dyDescent="0.25">
      <c r="A615" s="11" t="s">
        <v>1132</v>
      </c>
      <c r="B615" s="12">
        <v>46012</v>
      </c>
      <c r="C615" s="11" t="s">
        <v>160</v>
      </c>
      <c r="D615" s="11" t="s">
        <v>161</v>
      </c>
      <c r="E615" s="11" t="s">
        <v>62</v>
      </c>
      <c r="F615" s="11" t="s">
        <v>21</v>
      </c>
      <c r="G615" s="11">
        <v>3</v>
      </c>
      <c r="H615" s="11">
        <v>1800</v>
      </c>
      <c r="I615" s="13">
        <v>0.1</v>
      </c>
      <c r="J615" s="11">
        <v>4860</v>
      </c>
      <c r="K615" s="11">
        <v>4420.71</v>
      </c>
      <c r="L615" s="11">
        <v>439.29</v>
      </c>
      <c r="M615" s="11" t="s">
        <v>80</v>
      </c>
      <c r="N615" s="11" t="s">
        <v>81</v>
      </c>
      <c r="O615" s="11" t="s">
        <v>32</v>
      </c>
      <c r="P615" s="11" t="s">
        <v>55</v>
      </c>
      <c r="Q615" s="11" t="s">
        <v>60</v>
      </c>
    </row>
    <row r="616" spans="1:17" x14ac:dyDescent="0.25">
      <c r="A616" s="11" t="s">
        <v>1133</v>
      </c>
      <c r="B616" s="12">
        <v>45926</v>
      </c>
      <c r="C616" s="11" t="s">
        <v>555</v>
      </c>
      <c r="D616" s="11" t="s">
        <v>556</v>
      </c>
      <c r="E616" s="11" t="s">
        <v>131</v>
      </c>
      <c r="F616" s="11" t="s">
        <v>21</v>
      </c>
      <c r="G616" s="11">
        <v>3</v>
      </c>
      <c r="H616" s="11">
        <v>1600</v>
      </c>
      <c r="I616" s="11">
        <v>0</v>
      </c>
      <c r="J616" s="11">
        <v>4800</v>
      </c>
      <c r="K616" s="11">
        <v>3993.34</v>
      </c>
      <c r="L616" s="11">
        <v>806.66</v>
      </c>
      <c r="M616" s="11" t="s">
        <v>75</v>
      </c>
      <c r="N616" s="11" t="s">
        <v>76</v>
      </c>
      <c r="O616" s="11" t="s">
        <v>24</v>
      </c>
      <c r="P616" s="11" t="s">
        <v>25</v>
      </c>
      <c r="Q616" s="11" t="s">
        <v>26</v>
      </c>
    </row>
    <row r="617" spans="1:17" x14ac:dyDescent="0.25">
      <c r="A617" s="11" t="s">
        <v>1134</v>
      </c>
      <c r="B617" s="12">
        <v>45680</v>
      </c>
      <c r="C617" s="11" t="s">
        <v>516</v>
      </c>
      <c r="D617" s="11" t="s">
        <v>517</v>
      </c>
      <c r="E617" s="11" t="s">
        <v>85</v>
      </c>
      <c r="F617" s="11" t="s">
        <v>86</v>
      </c>
      <c r="G617" s="11">
        <v>5</v>
      </c>
      <c r="H617" s="11">
        <v>450</v>
      </c>
      <c r="I617" s="11">
        <v>0.15</v>
      </c>
      <c r="J617" s="11">
        <v>1912.5</v>
      </c>
      <c r="K617" s="11">
        <v>1635.96</v>
      </c>
      <c r="L617" s="11">
        <v>276.54000000000002</v>
      </c>
      <c r="M617" s="11" t="s">
        <v>80</v>
      </c>
      <c r="N617" s="11" t="s">
        <v>81</v>
      </c>
      <c r="O617" s="11" t="s">
        <v>24</v>
      </c>
      <c r="P617" s="11" t="s">
        <v>95</v>
      </c>
      <c r="Q617" s="11" t="s">
        <v>26</v>
      </c>
    </row>
    <row r="618" spans="1:17" x14ac:dyDescent="0.25">
      <c r="A618" s="11" t="s">
        <v>1135</v>
      </c>
      <c r="B618" s="12">
        <v>45872</v>
      </c>
      <c r="C618" s="11" t="s">
        <v>467</v>
      </c>
      <c r="D618" s="11" t="s">
        <v>468</v>
      </c>
      <c r="E618" s="11" t="s">
        <v>107</v>
      </c>
      <c r="F618" s="11" t="s">
        <v>108</v>
      </c>
      <c r="G618" s="11">
        <v>2</v>
      </c>
      <c r="H618" s="11">
        <v>1400</v>
      </c>
      <c r="I618" s="11">
        <v>0</v>
      </c>
      <c r="J618" s="11">
        <v>2800</v>
      </c>
      <c r="K618" s="11">
        <v>2290.2199999999998</v>
      </c>
      <c r="L618" s="11">
        <v>509.78</v>
      </c>
      <c r="M618" s="11" t="s">
        <v>36</v>
      </c>
      <c r="N618" s="11" t="s">
        <v>23</v>
      </c>
      <c r="O618" s="11" t="s">
        <v>45</v>
      </c>
      <c r="P618" s="11" t="s">
        <v>46</v>
      </c>
      <c r="Q618" s="11" t="s">
        <v>60</v>
      </c>
    </row>
    <row r="619" spans="1:17" x14ac:dyDescent="0.25">
      <c r="A619" s="11" t="s">
        <v>1136</v>
      </c>
      <c r="B619" s="12">
        <v>45761</v>
      </c>
      <c r="C619" s="11" t="s">
        <v>318</v>
      </c>
      <c r="D619" s="11" t="s">
        <v>319</v>
      </c>
      <c r="E619" s="11" t="s">
        <v>93</v>
      </c>
      <c r="F619" s="11" t="s">
        <v>94</v>
      </c>
      <c r="G619" s="11">
        <v>1</v>
      </c>
      <c r="H619" s="11">
        <v>2800</v>
      </c>
      <c r="I619" s="13">
        <v>0.05</v>
      </c>
      <c r="J619" s="11">
        <v>2660</v>
      </c>
      <c r="K619" s="11">
        <v>2312.91</v>
      </c>
      <c r="L619" s="11">
        <v>347.09</v>
      </c>
      <c r="M619" s="11" t="s">
        <v>99</v>
      </c>
      <c r="N619" s="11" t="s">
        <v>71</v>
      </c>
      <c r="O619" s="11" t="s">
        <v>32</v>
      </c>
      <c r="P619" s="11" t="s">
        <v>37</v>
      </c>
      <c r="Q619" s="11" t="s">
        <v>26</v>
      </c>
    </row>
    <row r="620" spans="1:17" x14ac:dyDescent="0.25">
      <c r="A620" s="11" t="s">
        <v>1137</v>
      </c>
      <c r="B620" s="12">
        <v>45969</v>
      </c>
      <c r="C620" s="11" t="s">
        <v>362</v>
      </c>
      <c r="D620" s="11" t="s">
        <v>363</v>
      </c>
      <c r="E620" s="11" t="s">
        <v>123</v>
      </c>
      <c r="F620" s="11" t="s">
        <v>21</v>
      </c>
      <c r="G620" s="11">
        <v>5</v>
      </c>
      <c r="H620" s="11">
        <v>2200</v>
      </c>
      <c r="I620" s="11">
        <v>0</v>
      </c>
      <c r="J620" s="11">
        <v>11000</v>
      </c>
      <c r="K620" s="11">
        <v>7698.69</v>
      </c>
      <c r="L620" s="11">
        <v>3301.31</v>
      </c>
      <c r="M620" s="11" t="s">
        <v>70</v>
      </c>
      <c r="N620" s="11" t="s">
        <v>71</v>
      </c>
      <c r="O620" s="11" t="s">
        <v>24</v>
      </c>
      <c r="P620" s="11" t="s">
        <v>37</v>
      </c>
      <c r="Q620" s="11" t="s">
        <v>26</v>
      </c>
    </row>
    <row r="621" spans="1:17" x14ac:dyDescent="0.25">
      <c r="A621" s="11" t="s">
        <v>1138</v>
      </c>
      <c r="B621" s="12">
        <v>45965</v>
      </c>
      <c r="C621" s="11" t="s">
        <v>587</v>
      </c>
      <c r="D621" s="11" t="s">
        <v>588</v>
      </c>
      <c r="E621" s="11" t="s">
        <v>30</v>
      </c>
      <c r="F621" s="11" t="s">
        <v>31</v>
      </c>
      <c r="G621" s="11">
        <v>4</v>
      </c>
      <c r="H621" s="11">
        <v>1200</v>
      </c>
      <c r="I621" s="11">
        <v>0</v>
      </c>
      <c r="J621" s="11">
        <v>4800</v>
      </c>
      <c r="K621" s="11">
        <v>4093.91</v>
      </c>
      <c r="L621" s="11">
        <v>706.09</v>
      </c>
      <c r="M621" s="11" t="s">
        <v>99</v>
      </c>
      <c r="N621" s="11" t="s">
        <v>71</v>
      </c>
      <c r="O621" s="11" t="s">
        <v>45</v>
      </c>
      <c r="P621" s="11" t="s">
        <v>25</v>
      </c>
      <c r="Q621" s="11" t="s">
        <v>60</v>
      </c>
    </row>
    <row r="622" spans="1:17" x14ac:dyDescent="0.25">
      <c r="A622" s="11" t="s">
        <v>1139</v>
      </c>
      <c r="B622" s="12">
        <v>45733</v>
      </c>
      <c r="C622" s="11" t="s">
        <v>1140</v>
      </c>
      <c r="D622" s="11" t="s">
        <v>1141</v>
      </c>
      <c r="E622" s="11" t="s">
        <v>112</v>
      </c>
      <c r="F622" s="11" t="s">
        <v>94</v>
      </c>
      <c r="G622" s="11">
        <v>1</v>
      </c>
      <c r="H622" s="11">
        <v>800</v>
      </c>
      <c r="I622" s="13">
        <v>0.05</v>
      </c>
      <c r="J622" s="11">
        <v>760</v>
      </c>
      <c r="K622" s="11">
        <v>584.22</v>
      </c>
      <c r="L622" s="11">
        <v>175.78</v>
      </c>
      <c r="M622" s="11" t="s">
        <v>99</v>
      </c>
      <c r="N622" s="11" t="s">
        <v>71</v>
      </c>
      <c r="O622" s="11" t="s">
        <v>32</v>
      </c>
      <c r="P622" s="11" t="s">
        <v>55</v>
      </c>
      <c r="Q622" s="11" t="s">
        <v>60</v>
      </c>
    </row>
    <row r="623" spans="1:17" x14ac:dyDescent="0.25">
      <c r="A623" s="11" t="s">
        <v>1142</v>
      </c>
      <c r="B623" s="12">
        <v>45683</v>
      </c>
      <c r="C623" s="11" t="s">
        <v>325</v>
      </c>
      <c r="D623" s="11" t="s">
        <v>326</v>
      </c>
      <c r="E623" s="11" t="s">
        <v>103</v>
      </c>
      <c r="F623" s="11" t="s">
        <v>42</v>
      </c>
      <c r="G623" s="11">
        <v>3</v>
      </c>
      <c r="H623" s="11">
        <v>6000</v>
      </c>
      <c r="I623" s="13">
        <v>0</v>
      </c>
      <c r="J623" s="11">
        <v>18000</v>
      </c>
      <c r="K623" s="11">
        <v>15814.06</v>
      </c>
      <c r="L623" s="11">
        <v>2185.94</v>
      </c>
      <c r="M623" s="11" t="s">
        <v>43</v>
      </c>
      <c r="N623" s="11" t="s">
        <v>44</v>
      </c>
      <c r="O623" s="11" t="s">
        <v>32</v>
      </c>
      <c r="P623" s="11" t="s">
        <v>46</v>
      </c>
      <c r="Q623" s="11" t="s">
        <v>47</v>
      </c>
    </row>
    <row r="624" spans="1:17" x14ac:dyDescent="0.25">
      <c r="A624" s="11" t="s">
        <v>1143</v>
      </c>
      <c r="B624" s="12">
        <v>45842</v>
      </c>
      <c r="C624" s="11" t="s">
        <v>39</v>
      </c>
      <c r="D624" s="11" t="s">
        <v>40</v>
      </c>
      <c r="E624" s="11" t="s">
        <v>93</v>
      </c>
      <c r="F624" s="11" t="s">
        <v>94</v>
      </c>
      <c r="G624" s="11">
        <v>4</v>
      </c>
      <c r="H624" s="11">
        <v>2800</v>
      </c>
      <c r="I624" s="11">
        <v>0.2</v>
      </c>
      <c r="J624" s="11">
        <v>8960</v>
      </c>
      <c r="K624" s="11">
        <v>9259.69</v>
      </c>
      <c r="L624" s="11">
        <v>-299.69</v>
      </c>
      <c r="M624" s="11" t="s">
        <v>99</v>
      </c>
      <c r="N624" s="11" t="s">
        <v>71</v>
      </c>
      <c r="O624" s="11" t="s">
        <v>45</v>
      </c>
      <c r="P624" s="11" t="s">
        <v>46</v>
      </c>
      <c r="Q624" s="11" t="s">
        <v>26</v>
      </c>
    </row>
    <row r="625" spans="1:17" x14ac:dyDescent="0.25">
      <c r="A625" s="11" t="s">
        <v>1144</v>
      </c>
      <c r="B625" s="12">
        <v>45691</v>
      </c>
      <c r="C625" s="11" t="s">
        <v>306</v>
      </c>
      <c r="D625" s="11" t="s">
        <v>307</v>
      </c>
      <c r="E625" s="11" t="s">
        <v>62</v>
      </c>
      <c r="F625" s="11" t="s">
        <v>21</v>
      </c>
      <c r="G625" s="11">
        <v>4</v>
      </c>
      <c r="H625" s="11">
        <v>1800</v>
      </c>
      <c r="I625" s="11">
        <v>0.2</v>
      </c>
      <c r="J625" s="11">
        <v>5760</v>
      </c>
      <c r="K625" s="11">
        <v>4902.8100000000004</v>
      </c>
      <c r="L625" s="11">
        <v>857.19</v>
      </c>
      <c r="M625" s="11" t="s">
        <v>36</v>
      </c>
      <c r="N625" s="11" t="s">
        <v>23</v>
      </c>
      <c r="O625" s="11" t="s">
        <v>24</v>
      </c>
      <c r="P625" s="11" t="s">
        <v>46</v>
      </c>
      <c r="Q625" s="11" t="s">
        <v>26</v>
      </c>
    </row>
    <row r="626" spans="1:17" x14ac:dyDescent="0.25">
      <c r="A626" s="11" t="s">
        <v>1145</v>
      </c>
      <c r="B626" s="12">
        <v>46014</v>
      </c>
      <c r="C626" s="11" t="s">
        <v>1125</v>
      </c>
      <c r="D626" s="11" t="s">
        <v>1126</v>
      </c>
      <c r="E626" s="11" t="s">
        <v>30</v>
      </c>
      <c r="F626" s="11" t="s">
        <v>31</v>
      </c>
      <c r="G626" s="11">
        <v>5</v>
      </c>
      <c r="H626" s="11">
        <v>1200</v>
      </c>
      <c r="I626" s="11">
        <v>0.05</v>
      </c>
      <c r="J626" s="11">
        <v>5700</v>
      </c>
      <c r="K626" s="11">
        <v>3980.29</v>
      </c>
      <c r="L626" s="11">
        <v>1719.71</v>
      </c>
      <c r="M626" s="11" t="s">
        <v>22</v>
      </c>
      <c r="N626" s="11" t="s">
        <v>23</v>
      </c>
      <c r="O626" s="11" t="s">
        <v>24</v>
      </c>
      <c r="P626" s="11" t="s">
        <v>25</v>
      </c>
      <c r="Q626" s="11" t="s">
        <v>26</v>
      </c>
    </row>
    <row r="627" spans="1:17" x14ac:dyDescent="0.25">
      <c r="A627" s="11" t="s">
        <v>1146</v>
      </c>
      <c r="B627" s="12">
        <v>45876</v>
      </c>
      <c r="C627" s="11" t="s">
        <v>236</v>
      </c>
      <c r="D627" s="11" t="s">
        <v>237</v>
      </c>
      <c r="E627" s="11" t="s">
        <v>123</v>
      </c>
      <c r="F627" s="11" t="s">
        <v>21</v>
      </c>
      <c r="G627" s="11">
        <v>5</v>
      </c>
      <c r="H627" s="11">
        <v>2200</v>
      </c>
      <c r="I627" s="11">
        <v>0.1</v>
      </c>
      <c r="J627" s="11">
        <v>9900</v>
      </c>
      <c r="K627" s="11">
        <v>8479.24</v>
      </c>
      <c r="L627" s="11">
        <v>1420.76</v>
      </c>
      <c r="M627" s="11" t="s">
        <v>59</v>
      </c>
      <c r="N627" s="11" t="s">
        <v>59</v>
      </c>
      <c r="O627" s="11" t="s">
        <v>24</v>
      </c>
      <c r="P627" s="11" t="s">
        <v>46</v>
      </c>
      <c r="Q627" s="11" t="s">
        <v>26</v>
      </c>
    </row>
    <row r="628" spans="1:17" x14ac:dyDescent="0.25">
      <c r="A628" s="11" t="s">
        <v>1147</v>
      </c>
      <c r="B628" s="12">
        <v>45910</v>
      </c>
      <c r="C628" s="11" t="s">
        <v>1148</v>
      </c>
      <c r="D628" s="11" t="s">
        <v>1149</v>
      </c>
      <c r="E628" s="11" t="s">
        <v>123</v>
      </c>
      <c r="F628" s="11" t="s">
        <v>21</v>
      </c>
      <c r="G628" s="11">
        <v>5</v>
      </c>
      <c r="H628" s="11">
        <v>2200</v>
      </c>
      <c r="I628" s="11">
        <v>0.15</v>
      </c>
      <c r="J628" s="11">
        <v>9350</v>
      </c>
      <c r="K628" s="11">
        <v>8691.7999999999993</v>
      </c>
      <c r="L628" s="11">
        <v>658.2</v>
      </c>
      <c r="M628" s="11" t="s">
        <v>80</v>
      </c>
      <c r="N628" s="11" t="s">
        <v>81</v>
      </c>
      <c r="O628" s="11" t="s">
        <v>24</v>
      </c>
      <c r="P628" s="11" t="s">
        <v>46</v>
      </c>
      <c r="Q628" s="11" t="s">
        <v>26</v>
      </c>
    </row>
    <row r="629" spans="1:17" x14ac:dyDescent="0.25">
      <c r="A629" s="11" t="s">
        <v>1150</v>
      </c>
      <c r="B629" s="12">
        <v>45896</v>
      </c>
      <c r="C629" s="11" t="s">
        <v>963</v>
      </c>
      <c r="D629" s="11" t="s">
        <v>964</v>
      </c>
      <c r="E629" s="11" t="s">
        <v>158</v>
      </c>
      <c r="F629" s="11" t="s">
        <v>21</v>
      </c>
      <c r="G629" s="11">
        <v>1</v>
      </c>
      <c r="H629" s="11">
        <v>55000</v>
      </c>
      <c r="I629" s="11">
        <v>0</v>
      </c>
      <c r="J629" s="11">
        <v>55000</v>
      </c>
      <c r="K629" s="11">
        <v>46478.080000000002</v>
      </c>
      <c r="L629" s="11">
        <v>8521.92</v>
      </c>
      <c r="M629" s="11" t="s">
        <v>43</v>
      </c>
      <c r="N629" s="11" t="s">
        <v>44</v>
      </c>
      <c r="O629" s="11" t="s">
        <v>24</v>
      </c>
      <c r="P629" s="11" t="s">
        <v>37</v>
      </c>
      <c r="Q629" s="11" t="s">
        <v>26</v>
      </c>
    </row>
    <row r="630" spans="1:17" x14ac:dyDescent="0.25">
      <c r="A630" s="11" t="s">
        <v>1151</v>
      </c>
      <c r="B630" s="12">
        <v>45944</v>
      </c>
      <c r="C630" s="11" t="s">
        <v>593</v>
      </c>
      <c r="D630" s="11" t="s">
        <v>594</v>
      </c>
      <c r="E630" s="11" t="s">
        <v>141</v>
      </c>
      <c r="F630" s="11" t="s">
        <v>21</v>
      </c>
      <c r="G630" s="11">
        <v>3</v>
      </c>
      <c r="H630" s="11">
        <v>22000</v>
      </c>
      <c r="I630" s="11">
        <v>0.1</v>
      </c>
      <c r="J630" s="11">
        <v>59400</v>
      </c>
      <c r="K630" s="11">
        <v>52624.59</v>
      </c>
      <c r="L630" s="11">
        <v>6775.41</v>
      </c>
      <c r="M630" s="11" t="s">
        <v>22</v>
      </c>
      <c r="N630" s="11" t="s">
        <v>23</v>
      </c>
      <c r="O630" s="11" t="s">
        <v>24</v>
      </c>
      <c r="P630" s="11" t="s">
        <v>46</v>
      </c>
      <c r="Q630" s="11" t="s">
        <v>26</v>
      </c>
    </row>
    <row r="631" spans="1:17" x14ac:dyDescent="0.25">
      <c r="A631" s="11" t="s">
        <v>1152</v>
      </c>
      <c r="B631" s="12">
        <v>45917</v>
      </c>
      <c r="C631" s="11" t="s">
        <v>987</v>
      </c>
      <c r="D631" s="11" t="s">
        <v>988</v>
      </c>
      <c r="E631" s="11" t="s">
        <v>62</v>
      </c>
      <c r="F631" s="11" t="s">
        <v>21</v>
      </c>
      <c r="G631" s="11">
        <v>3</v>
      </c>
      <c r="H631" s="11">
        <v>1800</v>
      </c>
      <c r="I631" s="11">
        <v>0.1</v>
      </c>
      <c r="J631" s="11">
        <v>4860</v>
      </c>
      <c r="K631" s="11">
        <v>3517.62</v>
      </c>
      <c r="L631" s="11">
        <v>1342.38</v>
      </c>
      <c r="M631" s="11" t="s">
        <v>59</v>
      </c>
      <c r="N631" s="11" t="s">
        <v>59</v>
      </c>
      <c r="O631" s="11" t="s">
        <v>24</v>
      </c>
      <c r="P631" s="11" t="s">
        <v>46</v>
      </c>
      <c r="Q631" s="11" t="s">
        <v>26</v>
      </c>
    </row>
    <row r="632" spans="1:17" x14ac:dyDescent="0.25">
      <c r="A632" s="11" t="s">
        <v>1153</v>
      </c>
      <c r="B632" s="12">
        <v>45672</v>
      </c>
      <c r="C632" s="11" t="s">
        <v>999</v>
      </c>
      <c r="D632" s="11" t="s">
        <v>1000</v>
      </c>
      <c r="E632" s="11" t="s">
        <v>85</v>
      </c>
      <c r="F632" s="11" t="s">
        <v>86</v>
      </c>
      <c r="G632" s="11">
        <v>5</v>
      </c>
      <c r="H632" s="11">
        <v>450</v>
      </c>
      <c r="I632" s="11">
        <v>0.2</v>
      </c>
      <c r="J632" s="11">
        <v>1800</v>
      </c>
      <c r="K632" s="11">
        <v>1633.54</v>
      </c>
      <c r="L632" s="11">
        <v>166.46</v>
      </c>
      <c r="M632" s="11" t="s">
        <v>80</v>
      </c>
      <c r="N632" s="11" t="s">
        <v>81</v>
      </c>
      <c r="O632" s="11" t="s">
        <v>45</v>
      </c>
      <c r="P632" s="11" t="s">
        <v>37</v>
      </c>
      <c r="Q632" s="11" t="s">
        <v>26</v>
      </c>
    </row>
    <row r="633" spans="1:17" x14ac:dyDescent="0.25">
      <c r="A633" s="11" t="s">
        <v>1154</v>
      </c>
      <c r="B633" s="12">
        <v>45737</v>
      </c>
      <c r="C633" s="11" t="s">
        <v>1155</v>
      </c>
      <c r="D633" s="11" t="s">
        <v>1156</v>
      </c>
      <c r="E633" s="11" t="s">
        <v>141</v>
      </c>
      <c r="F633" s="11" t="s">
        <v>21</v>
      </c>
      <c r="G633" s="11">
        <v>2</v>
      </c>
      <c r="H633" s="11">
        <v>22000</v>
      </c>
      <c r="I633" s="11">
        <v>0.15</v>
      </c>
      <c r="J633" s="11">
        <v>37400</v>
      </c>
      <c r="K633" s="11">
        <v>37356.07</v>
      </c>
      <c r="L633" s="11">
        <v>43.93</v>
      </c>
      <c r="M633" s="11" t="s">
        <v>70</v>
      </c>
      <c r="N633" s="11" t="s">
        <v>71</v>
      </c>
      <c r="O633" s="11" t="s">
        <v>45</v>
      </c>
      <c r="P633" s="11" t="s">
        <v>37</v>
      </c>
      <c r="Q633" s="11" t="s">
        <v>26</v>
      </c>
    </row>
    <row r="634" spans="1:17" x14ac:dyDescent="0.25">
      <c r="A634" s="11" t="s">
        <v>1157</v>
      </c>
      <c r="B634" s="12">
        <v>45947</v>
      </c>
      <c r="C634" s="11" t="s">
        <v>211</v>
      </c>
      <c r="D634" s="11" t="s">
        <v>212</v>
      </c>
      <c r="E634" s="11" t="s">
        <v>141</v>
      </c>
      <c r="F634" s="11" t="s">
        <v>21</v>
      </c>
      <c r="G634" s="11">
        <v>5</v>
      </c>
      <c r="H634" s="11">
        <v>22000</v>
      </c>
      <c r="I634" s="13">
        <v>0.1</v>
      </c>
      <c r="J634" s="11">
        <v>99000</v>
      </c>
      <c r="K634" s="11">
        <v>85057.9</v>
      </c>
      <c r="L634" s="11">
        <v>13942.1</v>
      </c>
      <c r="M634" s="11" t="s">
        <v>59</v>
      </c>
      <c r="N634" s="11" t="s">
        <v>59</v>
      </c>
      <c r="O634" s="11" t="s">
        <v>32</v>
      </c>
      <c r="P634" s="11" t="s">
        <v>25</v>
      </c>
      <c r="Q634" s="11" t="s">
        <v>60</v>
      </c>
    </row>
    <row r="635" spans="1:17" x14ac:dyDescent="0.25">
      <c r="A635" s="11" t="s">
        <v>1158</v>
      </c>
      <c r="B635" s="12">
        <v>45734</v>
      </c>
      <c r="C635" s="11" t="s">
        <v>91</v>
      </c>
      <c r="D635" s="11" t="s">
        <v>92</v>
      </c>
      <c r="E635" s="11" t="s">
        <v>66</v>
      </c>
      <c r="F635" s="11" t="s">
        <v>31</v>
      </c>
      <c r="G635" s="11">
        <v>3</v>
      </c>
      <c r="H635" s="11">
        <v>3500</v>
      </c>
      <c r="I635" s="11">
        <v>0</v>
      </c>
      <c r="J635" s="11">
        <v>10500</v>
      </c>
      <c r="K635" s="11">
        <v>6900.28</v>
      </c>
      <c r="L635" s="11">
        <v>3599.72</v>
      </c>
      <c r="M635" s="11" t="s">
        <v>36</v>
      </c>
      <c r="N635" s="11" t="s">
        <v>23</v>
      </c>
      <c r="O635" s="11" t="s">
        <v>45</v>
      </c>
      <c r="P635" s="11" t="s">
        <v>25</v>
      </c>
      <c r="Q635" s="11" t="s">
        <v>26</v>
      </c>
    </row>
    <row r="636" spans="1:17" x14ac:dyDescent="0.25">
      <c r="A636" s="11" t="s">
        <v>1159</v>
      </c>
      <c r="B636" s="12">
        <v>45717</v>
      </c>
      <c r="C636" s="11" t="s">
        <v>725</v>
      </c>
      <c r="D636" s="11" t="s">
        <v>726</v>
      </c>
      <c r="E636" s="11" t="s">
        <v>85</v>
      </c>
      <c r="F636" s="11" t="s">
        <v>86</v>
      </c>
      <c r="G636" s="11">
        <v>2</v>
      </c>
      <c r="H636" s="11">
        <v>450</v>
      </c>
      <c r="I636" s="11">
        <v>0.2</v>
      </c>
      <c r="J636" s="11">
        <v>720</v>
      </c>
      <c r="K636" s="11">
        <v>762.57</v>
      </c>
      <c r="L636" s="11">
        <v>-42.57</v>
      </c>
      <c r="M636" s="11" t="s">
        <v>36</v>
      </c>
      <c r="N636" s="11" t="s">
        <v>23</v>
      </c>
      <c r="O636" s="11" t="s">
        <v>24</v>
      </c>
      <c r="P636" s="11" t="s">
        <v>55</v>
      </c>
      <c r="Q636" s="11" t="s">
        <v>26</v>
      </c>
    </row>
    <row r="637" spans="1:17" x14ac:dyDescent="0.25">
      <c r="A637" s="11" t="s">
        <v>1160</v>
      </c>
      <c r="B637" s="12">
        <v>45779</v>
      </c>
      <c r="C637" s="11" t="s">
        <v>217</v>
      </c>
      <c r="D637" s="11" t="s">
        <v>218</v>
      </c>
      <c r="E637" s="11" t="s">
        <v>30</v>
      </c>
      <c r="F637" s="11" t="s">
        <v>31</v>
      </c>
      <c r="G637" s="11">
        <v>1</v>
      </c>
      <c r="H637" s="11">
        <v>1200</v>
      </c>
      <c r="I637" s="11">
        <v>0.15</v>
      </c>
      <c r="J637" s="11">
        <v>1020</v>
      </c>
      <c r="K637" s="11">
        <v>1008.93</v>
      </c>
      <c r="L637" s="11">
        <v>11.07</v>
      </c>
      <c r="M637" s="11" t="s">
        <v>59</v>
      </c>
      <c r="N637" s="11" t="s">
        <v>59</v>
      </c>
      <c r="O637" s="11" t="s">
        <v>45</v>
      </c>
      <c r="P637" s="11" t="s">
        <v>95</v>
      </c>
      <c r="Q637" s="11" t="s">
        <v>47</v>
      </c>
    </row>
    <row r="638" spans="1:17" x14ac:dyDescent="0.25">
      <c r="A638" s="11" t="s">
        <v>1161</v>
      </c>
      <c r="B638" s="12">
        <v>45849</v>
      </c>
      <c r="C638" s="11" t="s">
        <v>1014</v>
      </c>
      <c r="D638" s="11" t="s">
        <v>1015</v>
      </c>
      <c r="E638" s="11" t="s">
        <v>103</v>
      </c>
      <c r="F638" s="11" t="s">
        <v>42</v>
      </c>
      <c r="G638" s="11">
        <v>2</v>
      </c>
      <c r="H638" s="11">
        <v>6000</v>
      </c>
      <c r="I638" s="13">
        <v>0</v>
      </c>
      <c r="J638" s="11">
        <v>12000</v>
      </c>
      <c r="K638" s="11">
        <v>8357.7900000000009</v>
      </c>
      <c r="L638" s="11">
        <v>3642.21</v>
      </c>
      <c r="M638" s="11" t="s">
        <v>99</v>
      </c>
      <c r="N638" s="11" t="s">
        <v>71</v>
      </c>
      <c r="O638" s="11" t="s">
        <v>32</v>
      </c>
      <c r="P638" s="11" t="s">
        <v>37</v>
      </c>
      <c r="Q638" s="11" t="s">
        <v>47</v>
      </c>
    </row>
    <row r="639" spans="1:17" x14ac:dyDescent="0.25">
      <c r="A639" s="11" t="s">
        <v>1162</v>
      </c>
      <c r="B639" s="12">
        <v>45736</v>
      </c>
      <c r="C639" s="11" t="s">
        <v>539</v>
      </c>
      <c r="D639" s="11" t="s">
        <v>540</v>
      </c>
      <c r="E639" s="11" t="s">
        <v>158</v>
      </c>
      <c r="F639" s="11" t="s">
        <v>21</v>
      </c>
      <c r="G639" s="11">
        <v>4</v>
      </c>
      <c r="H639" s="11">
        <v>55000</v>
      </c>
      <c r="I639" s="11">
        <v>0.2</v>
      </c>
      <c r="J639" s="11">
        <v>176000</v>
      </c>
      <c r="K639" s="11">
        <v>189736.02</v>
      </c>
      <c r="L639" s="11">
        <v>-13736.02</v>
      </c>
      <c r="M639" s="11" t="s">
        <v>22</v>
      </c>
      <c r="N639" s="11" t="s">
        <v>23</v>
      </c>
      <c r="O639" s="11" t="s">
        <v>24</v>
      </c>
      <c r="P639" s="11" t="s">
        <v>25</v>
      </c>
      <c r="Q639" s="11" t="s">
        <v>26</v>
      </c>
    </row>
    <row r="640" spans="1:17" x14ac:dyDescent="0.25">
      <c r="A640" s="11" t="s">
        <v>1163</v>
      </c>
      <c r="B640" s="12">
        <v>45922</v>
      </c>
      <c r="C640" s="11" t="s">
        <v>702</v>
      </c>
      <c r="D640" s="11" t="s">
        <v>703</v>
      </c>
      <c r="E640" s="11" t="s">
        <v>66</v>
      </c>
      <c r="F640" s="11" t="s">
        <v>31</v>
      </c>
      <c r="G640" s="11">
        <v>2</v>
      </c>
      <c r="H640" s="11">
        <v>3500</v>
      </c>
      <c r="I640" s="11">
        <v>0</v>
      </c>
      <c r="J640" s="11">
        <v>7000</v>
      </c>
      <c r="K640" s="11">
        <v>5716.56</v>
      </c>
      <c r="L640" s="11">
        <v>1283.44</v>
      </c>
      <c r="M640" s="11" t="s">
        <v>80</v>
      </c>
      <c r="N640" s="11" t="s">
        <v>81</v>
      </c>
      <c r="O640" s="11" t="s">
        <v>45</v>
      </c>
      <c r="P640" s="11" t="s">
        <v>37</v>
      </c>
      <c r="Q640" s="11" t="s">
        <v>60</v>
      </c>
    </row>
    <row r="641" spans="1:17" x14ac:dyDescent="0.25">
      <c r="A641" s="11" t="s">
        <v>1164</v>
      </c>
      <c r="B641" s="12">
        <v>45680</v>
      </c>
      <c r="C641" s="11" t="s">
        <v>1165</v>
      </c>
      <c r="D641" s="11" t="s">
        <v>1166</v>
      </c>
      <c r="E641" s="11" t="s">
        <v>20</v>
      </c>
      <c r="F641" s="11" t="s">
        <v>21</v>
      </c>
      <c r="G641" s="11">
        <v>1</v>
      </c>
      <c r="H641" s="11">
        <v>4500</v>
      </c>
      <c r="I641" s="13">
        <v>0.1</v>
      </c>
      <c r="J641" s="11">
        <v>4050</v>
      </c>
      <c r="K641" s="11">
        <v>3408.22</v>
      </c>
      <c r="L641" s="11">
        <v>641.78</v>
      </c>
      <c r="M641" s="11" t="s">
        <v>43</v>
      </c>
      <c r="N641" s="11" t="s">
        <v>44</v>
      </c>
      <c r="O641" s="11" t="s">
        <v>32</v>
      </c>
      <c r="P641" s="11" t="s">
        <v>55</v>
      </c>
      <c r="Q641" s="11" t="s">
        <v>47</v>
      </c>
    </row>
    <row r="642" spans="1:17" x14ac:dyDescent="0.25">
      <c r="A642" s="11" t="s">
        <v>1167</v>
      </c>
      <c r="B642" s="12">
        <v>45817</v>
      </c>
      <c r="C642" s="11" t="s">
        <v>937</v>
      </c>
      <c r="D642" s="11" t="s">
        <v>938</v>
      </c>
      <c r="E642" s="11" t="s">
        <v>103</v>
      </c>
      <c r="F642" s="11" t="s">
        <v>42</v>
      </c>
      <c r="G642" s="11">
        <v>1</v>
      </c>
      <c r="H642" s="11">
        <v>6000</v>
      </c>
      <c r="I642" s="11">
        <v>0.2</v>
      </c>
      <c r="J642" s="11">
        <v>4800</v>
      </c>
      <c r="K642" s="11">
        <v>4176.7700000000004</v>
      </c>
      <c r="L642" s="11">
        <v>623.23</v>
      </c>
      <c r="M642" s="11" t="s">
        <v>22</v>
      </c>
      <c r="N642" s="11" t="s">
        <v>23</v>
      </c>
      <c r="O642" s="11" t="s">
        <v>45</v>
      </c>
      <c r="P642" s="11" t="s">
        <v>46</v>
      </c>
      <c r="Q642" s="11" t="s">
        <v>47</v>
      </c>
    </row>
    <row r="643" spans="1:17" x14ac:dyDescent="0.25">
      <c r="A643" s="11" t="s">
        <v>1168</v>
      </c>
      <c r="B643" s="12">
        <v>45797</v>
      </c>
      <c r="C643" s="11" t="s">
        <v>88</v>
      </c>
      <c r="D643" s="11" t="s">
        <v>89</v>
      </c>
      <c r="E643" s="11" t="s">
        <v>66</v>
      </c>
      <c r="F643" s="11" t="s">
        <v>31</v>
      </c>
      <c r="G643" s="11">
        <v>4</v>
      </c>
      <c r="H643" s="11">
        <v>3500</v>
      </c>
      <c r="I643" s="13">
        <v>0</v>
      </c>
      <c r="J643" s="11">
        <v>14000</v>
      </c>
      <c r="K643" s="11">
        <v>9981.11</v>
      </c>
      <c r="L643" s="11">
        <v>4018.89</v>
      </c>
      <c r="M643" s="11" t="s">
        <v>80</v>
      </c>
      <c r="N643" s="11" t="s">
        <v>81</v>
      </c>
      <c r="O643" s="11" t="s">
        <v>32</v>
      </c>
      <c r="P643" s="11" t="s">
        <v>25</v>
      </c>
      <c r="Q643" s="11" t="s">
        <v>47</v>
      </c>
    </row>
    <row r="644" spans="1:17" x14ac:dyDescent="0.25">
      <c r="A644" s="11" t="s">
        <v>1169</v>
      </c>
      <c r="B644" s="12">
        <v>45837</v>
      </c>
      <c r="C644" s="11" t="s">
        <v>420</v>
      </c>
      <c r="D644" s="11" t="s">
        <v>421</v>
      </c>
      <c r="E644" s="11" t="s">
        <v>20</v>
      </c>
      <c r="F644" s="11" t="s">
        <v>21</v>
      </c>
      <c r="G644" s="11">
        <v>2</v>
      </c>
      <c r="H644" s="11">
        <v>4500</v>
      </c>
      <c r="I644" s="11">
        <v>0.2</v>
      </c>
      <c r="J644" s="11">
        <v>7200</v>
      </c>
      <c r="K644" s="11">
        <v>6143.02</v>
      </c>
      <c r="L644" s="11">
        <v>1056.98</v>
      </c>
      <c r="M644" s="11" t="s">
        <v>59</v>
      </c>
      <c r="N644" s="11" t="s">
        <v>59</v>
      </c>
      <c r="O644" s="11" t="s">
        <v>24</v>
      </c>
      <c r="P644" s="11" t="s">
        <v>46</v>
      </c>
      <c r="Q644" s="11" t="s">
        <v>47</v>
      </c>
    </row>
    <row r="645" spans="1:17" x14ac:dyDescent="0.25">
      <c r="A645" s="11" t="s">
        <v>1170</v>
      </c>
      <c r="B645" s="12">
        <v>45817</v>
      </c>
      <c r="C645" s="11" t="s">
        <v>717</v>
      </c>
      <c r="D645" s="11" t="s">
        <v>718</v>
      </c>
      <c r="E645" s="11" t="s">
        <v>116</v>
      </c>
      <c r="F645" s="11" t="s">
        <v>94</v>
      </c>
      <c r="G645" s="11">
        <v>2</v>
      </c>
      <c r="H645" s="11">
        <v>1800</v>
      </c>
      <c r="I645" s="13">
        <v>0</v>
      </c>
      <c r="J645" s="11">
        <v>3600</v>
      </c>
      <c r="K645" s="11">
        <v>2707.34</v>
      </c>
      <c r="L645" s="11">
        <v>892.66</v>
      </c>
      <c r="M645" s="11" t="s">
        <v>59</v>
      </c>
      <c r="N645" s="11" t="s">
        <v>59</v>
      </c>
      <c r="O645" s="11" t="s">
        <v>32</v>
      </c>
      <c r="P645" s="11" t="s">
        <v>55</v>
      </c>
      <c r="Q645" s="11" t="s">
        <v>26</v>
      </c>
    </row>
    <row r="646" spans="1:17" x14ac:dyDescent="0.25">
      <c r="A646" s="11" t="s">
        <v>1171</v>
      </c>
      <c r="B646" s="12">
        <v>45685</v>
      </c>
      <c r="C646" s="11" t="s">
        <v>824</v>
      </c>
      <c r="D646" s="11" t="s">
        <v>825</v>
      </c>
      <c r="E646" s="11" t="s">
        <v>141</v>
      </c>
      <c r="F646" s="11" t="s">
        <v>21</v>
      </c>
      <c r="G646" s="11">
        <v>1</v>
      </c>
      <c r="H646" s="11">
        <v>22000</v>
      </c>
      <c r="I646" s="11">
        <v>0.15</v>
      </c>
      <c r="J646" s="11">
        <v>18700</v>
      </c>
      <c r="K646" s="11">
        <v>16283.1</v>
      </c>
      <c r="L646" s="11">
        <v>2416.9</v>
      </c>
      <c r="M646" s="11" t="s">
        <v>1349</v>
      </c>
      <c r="N646" s="11" t="s">
        <v>1349</v>
      </c>
      <c r="O646" s="11" t="s">
        <v>24</v>
      </c>
      <c r="P646" s="11" t="s">
        <v>25</v>
      </c>
      <c r="Q646" s="11" t="s">
        <v>47</v>
      </c>
    </row>
    <row r="647" spans="1:17" x14ac:dyDescent="0.25">
      <c r="A647" s="11" t="s">
        <v>1172</v>
      </c>
      <c r="B647" s="12">
        <v>45817</v>
      </c>
      <c r="C647" s="11" t="s">
        <v>476</v>
      </c>
      <c r="D647" s="11" t="s">
        <v>477</v>
      </c>
      <c r="E647" s="11" t="s">
        <v>131</v>
      </c>
      <c r="F647" s="11" t="s">
        <v>21</v>
      </c>
      <c r="G647" s="11">
        <v>5</v>
      </c>
      <c r="H647" s="11">
        <v>1600</v>
      </c>
      <c r="I647" s="11">
        <v>0.1</v>
      </c>
      <c r="J647" s="11">
        <v>7200</v>
      </c>
      <c r="K647" s="11">
        <v>5564.59</v>
      </c>
      <c r="L647" s="11">
        <v>1635.41</v>
      </c>
      <c r="M647" s="11" t="s">
        <v>59</v>
      </c>
      <c r="N647" s="11" t="s">
        <v>59</v>
      </c>
      <c r="O647" s="11" t="s">
        <v>24</v>
      </c>
      <c r="P647" s="11" t="s">
        <v>25</v>
      </c>
      <c r="Q647" s="11" t="s">
        <v>26</v>
      </c>
    </row>
    <row r="648" spans="1:17" x14ac:dyDescent="0.25">
      <c r="A648" s="11" t="s">
        <v>1173</v>
      </c>
      <c r="B648" s="12">
        <v>45705</v>
      </c>
      <c r="C648" s="11" t="s">
        <v>121</v>
      </c>
      <c r="D648" s="11" t="s">
        <v>122</v>
      </c>
      <c r="E648" s="11" t="s">
        <v>131</v>
      </c>
      <c r="F648" s="11" t="s">
        <v>21</v>
      </c>
      <c r="G648" s="11">
        <v>5</v>
      </c>
      <c r="H648" s="11">
        <v>1600</v>
      </c>
      <c r="I648" s="11">
        <v>0.05</v>
      </c>
      <c r="J648" s="11">
        <v>7600</v>
      </c>
      <c r="K648" s="11">
        <v>6038.27</v>
      </c>
      <c r="L648" s="11">
        <v>1561.73</v>
      </c>
      <c r="M648" s="11" t="s">
        <v>70</v>
      </c>
      <c r="N648" s="11" t="s">
        <v>71</v>
      </c>
      <c r="O648" s="11" t="s">
        <v>24</v>
      </c>
      <c r="P648" s="11" t="s">
        <v>37</v>
      </c>
      <c r="Q648" s="11" t="s">
        <v>26</v>
      </c>
    </row>
    <row r="649" spans="1:17" x14ac:dyDescent="0.25">
      <c r="A649" s="11" t="s">
        <v>1174</v>
      </c>
      <c r="B649" s="12">
        <v>45973</v>
      </c>
      <c r="C649" s="11" t="s">
        <v>516</v>
      </c>
      <c r="D649" s="11" t="s">
        <v>517</v>
      </c>
      <c r="E649" s="11" t="s">
        <v>116</v>
      </c>
      <c r="F649" s="11" t="s">
        <v>94</v>
      </c>
      <c r="G649" s="11">
        <v>2</v>
      </c>
      <c r="H649" s="11">
        <v>1800</v>
      </c>
      <c r="I649" s="13">
        <v>0.05</v>
      </c>
      <c r="J649" s="11">
        <v>3420</v>
      </c>
      <c r="K649" s="11">
        <v>2640.94</v>
      </c>
      <c r="L649" s="11">
        <v>779.06</v>
      </c>
      <c r="M649" s="11" t="s">
        <v>36</v>
      </c>
      <c r="N649" s="11" t="s">
        <v>23</v>
      </c>
      <c r="O649" s="11" t="s">
        <v>32</v>
      </c>
      <c r="P649" s="11" t="s">
        <v>46</v>
      </c>
      <c r="Q649" s="11" t="s">
        <v>26</v>
      </c>
    </row>
    <row r="650" spans="1:17" x14ac:dyDescent="0.25">
      <c r="A650" s="11" t="s">
        <v>1175</v>
      </c>
      <c r="B650" s="12">
        <v>45691</v>
      </c>
      <c r="C650" s="11" t="s">
        <v>837</v>
      </c>
      <c r="D650" s="11" t="s">
        <v>838</v>
      </c>
      <c r="E650" s="11" t="s">
        <v>131</v>
      </c>
      <c r="F650" s="11" t="s">
        <v>21</v>
      </c>
      <c r="G650" s="11">
        <v>4</v>
      </c>
      <c r="H650" s="11">
        <v>1600</v>
      </c>
      <c r="I650" s="11">
        <v>0</v>
      </c>
      <c r="J650" s="11">
        <v>6400</v>
      </c>
      <c r="K650" s="11">
        <v>4677.32</v>
      </c>
      <c r="L650" s="11">
        <v>1722.68</v>
      </c>
      <c r="M650" s="11" t="s">
        <v>70</v>
      </c>
      <c r="N650" s="11" t="s">
        <v>71</v>
      </c>
      <c r="O650" s="11" t="s">
        <v>45</v>
      </c>
      <c r="P650" s="11" t="s">
        <v>95</v>
      </c>
      <c r="Q650" s="11" t="s">
        <v>26</v>
      </c>
    </row>
    <row r="651" spans="1:17" x14ac:dyDescent="0.25">
      <c r="A651" s="11" t="s">
        <v>1176</v>
      </c>
      <c r="B651" s="12">
        <v>45723</v>
      </c>
      <c r="C651" s="11" t="s">
        <v>730</v>
      </c>
      <c r="D651" s="11" t="s">
        <v>731</v>
      </c>
      <c r="E651" s="11" t="s">
        <v>54</v>
      </c>
      <c r="F651" s="11" t="s">
        <v>31</v>
      </c>
      <c r="G651" s="11">
        <v>5</v>
      </c>
      <c r="H651" s="11">
        <v>2800</v>
      </c>
      <c r="I651" s="13">
        <v>0.2</v>
      </c>
      <c r="J651" s="11">
        <v>11200</v>
      </c>
      <c r="K651" s="11">
        <v>11732.52</v>
      </c>
      <c r="L651" s="11">
        <v>-532.52</v>
      </c>
      <c r="M651" s="11" t="s">
        <v>43</v>
      </c>
      <c r="N651" s="11" t="s">
        <v>44</v>
      </c>
      <c r="O651" s="11" t="s">
        <v>32</v>
      </c>
      <c r="P651" s="11" t="s">
        <v>46</v>
      </c>
      <c r="Q651" s="11" t="s">
        <v>47</v>
      </c>
    </row>
    <row r="652" spans="1:17" x14ac:dyDescent="0.25">
      <c r="A652" s="11" t="s">
        <v>1177</v>
      </c>
      <c r="B652" s="12">
        <v>45894</v>
      </c>
      <c r="C652" s="11" t="s">
        <v>564</v>
      </c>
      <c r="D652" s="11" t="s">
        <v>565</v>
      </c>
      <c r="E652" s="11" t="s">
        <v>62</v>
      </c>
      <c r="F652" s="11" t="s">
        <v>21</v>
      </c>
      <c r="G652" s="11">
        <v>3</v>
      </c>
      <c r="H652" s="11">
        <v>1800</v>
      </c>
      <c r="I652" s="11">
        <v>0.2</v>
      </c>
      <c r="J652" s="11">
        <v>4320</v>
      </c>
      <c r="K652" s="11">
        <v>4023.49</v>
      </c>
      <c r="L652" s="11">
        <v>296.51</v>
      </c>
      <c r="M652" s="11" t="s">
        <v>75</v>
      </c>
      <c r="N652" s="11" t="s">
        <v>76</v>
      </c>
      <c r="O652" s="11" t="s">
        <v>24</v>
      </c>
      <c r="P652" s="11" t="s">
        <v>95</v>
      </c>
      <c r="Q652" s="11" t="s">
        <v>47</v>
      </c>
    </row>
    <row r="653" spans="1:17" x14ac:dyDescent="0.25">
      <c r="A653" s="11" t="s">
        <v>1178</v>
      </c>
      <c r="B653" s="12">
        <v>45691</v>
      </c>
      <c r="C653" s="11" t="s">
        <v>721</v>
      </c>
      <c r="D653" s="11" t="s">
        <v>722</v>
      </c>
      <c r="E653" s="11" t="s">
        <v>93</v>
      </c>
      <c r="F653" s="11" t="s">
        <v>94</v>
      </c>
      <c r="G653" s="11">
        <v>4</v>
      </c>
      <c r="H653" s="11">
        <v>2800</v>
      </c>
      <c r="I653" s="11">
        <v>0.15</v>
      </c>
      <c r="J653" s="11">
        <v>9520</v>
      </c>
      <c r="K653" s="11">
        <v>9376.65</v>
      </c>
      <c r="L653" s="11">
        <v>143.35</v>
      </c>
      <c r="M653" s="11" t="s">
        <v>59</v>
      </c>
      <c r="N653" s="11" t="s">
        <v>59</v>
      </c>
      <c r="O653" s="11" t="s">
        <v>24</v>
      </c>
      <c r="P653" s="11" t="s">
        <v>37</v>
      </c>
      <c r="Q653" s="11" t="s">
        <v>26</v>
      </c>
    </row>
    <row r="654" spans="1:17" x14ac:dyDescent="0.25">
      <c r="A654" s="11" t="s">
        <v>1179</v>
      </c>
      <c r="B654" s="12">
        <v>45746</v>
      </c>
      <c r="C654" s="11" t="s">
        <v>399</v>
      </c>
      <c r="D654" s="11" t="s">
        <v>400</v>
      </c>
      <c r="E654" s="11" t="s">
        <v>66</v>
      </c>
      <c r="F654" s="11" t="s">
        <v>31</v>
      </c>
      <c r="G654" s="11">
        <v>5</v>
      </c>
      <c r="H654" s="11">
        <v>3500</v>
      </c>
      <c r="I654" s="11">
        <v>0.05</v>
      </c>
      <c r="J654" s="11">
        <v>16625</v>
      </c>
      <c r="K654" s="11">
        <v>15121.72</v>
      </c>
      <c r="L654" s="11">
        <v>1503.28</v>
      </c>
      <c r="M654" s="11" t="s">
        <v>43</v>
      </c>
      <c r="N654" s="11" t="s">
        <v>44</v>
      </c>
      <c r="O654" s="11" t="s">
        <v>24</v>
      </c>
      <c r="P654" s="11" t="s">
        <v>37</v>
      </c>
      <c r="Q654" s="11" t="s">
        <v>26</v>
      </c>
    </row>
    <row r="655" spans="1:17" x14ac:dyDescent="0.25">
      <c r="A655" s="11" t="s">
        <v>1180</v>
      </c>
      <c r="B655" s="12">
        <v>45707</v>
      </c>
      <c r="C655" s="11" t="s">
        <v>278</v>
      </c>
      <c r="D655" s="11" t="s">
        <v>279</v>
      </c>
      <c r="E655" s="11" t="s">
        <v>131</v>
      </c>
      <c r="F655" s="11" t="s">
        <v>21</v>
      </c>
      <c r="G655" s="11">
        <v>3</v>
      </c>
      <c r="H655" s="11">
        <v>1600</v>
      </c>
      <c r="I655" s="11">
        <v>0.2</v>
      </c>
      <c r="J655" s="11">
        <v>3840</v>
      </c>
      <c r="K655" s="11">
        <v>3460.07</v>
      </c>
      <c r="L655" s="11">
        <v>379.93</v>
      </c>
      <c r="M655" s="11" t="s">
        <v>70</v>
      </c>
      <c r="N655" s="11" t="s">
        <v>71</v>
      </c>
      <c r="O655" s="11" t="s">
        <v>45</v>
      </c>
      <c r="P655" s="11" t="s">
        <v>55</v>
      </c>
      <c r="Q655" s="11" t="s">
        <v>47</v>
      </c>
    </row>
    <row r="656" spans="1:17" x14ac:dyDescent="0.25">
      <c r="A656" s="11" t="s">
        <v>1181</v>
      </c>
      <c r="B656" s="12">
        <v>45825</v>
      </c>
      <c r="C656" s="11" t="s">
        <v>597</v>
      </c>
      <c r="D656" s="11" t="s">
        <v>598</v>
      </c>
      <c r="E656" s="11" t="s">
        <v>20</v>
      </c>
      <c r="F656" s="11" t="s">
        <v>21</v>
      </c>
      <c r="G656" s="11">
        <v>5</v>
      </c>
      <c r="H656" s="11">
        <v>4500</v>
      </c>
      <c r="I656" s="13">
        <v>0.15</v>
      </c>
      <c r="J656" s="11">
        <v>19125</v>
      </c>
      <c r="K656" s="11">
        <v>18041.349999999999</v>
      </c>
      <c r="L656" s="11">
        <v>1083.6500000000001</v>
      </c>
      <c r="M656" s="11" t="s">
        <v>70</v>
      </c>
      <c r="N656" s="11" t="s">
        <v>71</v>
      </c>
      <c r="O656" s="11" t="s">
        <v>32</v>
      </c>
      <c r="P656" s="11" t="s">
        <v>95</v>
      </c>
      <c r="Q656" s="11" t="s">
        <v>26</v>
      </c>
    </row>
    <row r="657" spans="1:17" x14ac:dyDescent="0.25">
      <c r="A657" s="11" t="s">
        <v>1182</v>
      </c>
      <c r="B657" s="12">
        <v>45889</v>
      </c>
      <c r="C657" s="11" t="s">
        <v>491</v>
      </c>
      <c r="D657" s="11" t="s">
        <v>492</v>
      </c>
      <c r="E657" s="11" t="s">
        <v>158</v>
      </c>
      <c r="F657" s="11" t="s">
        <v>21</v>
      </c>
      <c r="G657" s="11">
        <v>2</v>
      </c>
      <c r="H657" s="11">
        <v>55000</v>
      </c>
      <c r="I657" s="11">
        <v>0.05</v>
      </c>
      <c r="J657" s="11">
        <v>104500</v>
      </c>
      <c r="K657" s="11">
        <v>87073.98</v>
      </c>
      <c r="L657" s="11">
        <v>17426.02</v>
      </c>
      <c r="M657" s="11" t="s">
        <v>36</v>
      </c>
      <c r="N657" s="11" t="s">
        <v>23</v>
      </c>
      <c r="O657" s="11" t="s">
        <v>45</v>
      </c>
      <c r="P657" s="11" t="s">
        <v>95</v>
      </c>
      <c r="Q657" s="11" t="s">
        <v>26</v>
      </c>
    </row>
    <row r="658" spans="1:17" x14ac:dyDescent="0.25">
      <c r="A658" s="11" t="s">
        <v>1183</v>
      </c>
      <c r="B658" s="12">
        <v>46005</v>
      </c>
      <c r="C658" s="11" t="s">
        <v>1184</v>
      </c>
      <c r="D658" s="11" t="s">
        <v>1185</v>
      </c>
      <c r="E658" s="11" t="s">
        <v>66</v>
      </c>
      <c r="F658" s="11" t="s">
        <v>31</v>
      </c>
      <c r="G658" s="11">
        <v>3</v>
      </c>
      <c r="H658" s="11">
        <v>3500</v>
      </c>
      <c r="I658" s="11">
        <v>0.2</v>
      </c>
      <c r="J658" s="11">
        <v>8400</v>
      </c>
      <c r="K658" s="11">
        <v>9103.15</v>
      </c>
      <c r="L658" s="11">
        <v>-703.15</v>
      </c>
      <c r="M658" s="11" t="s">
        <v>36</v>
      </c>
      <c r="N658" s="11" t="s">
        <v>23</v>
      </c>
      <c r="O658" s="11" t="s">
        <v>45</v>
      </c>
      <c r="P658" s="11" t="s">
        <v>46</v>
      </c>
      <c r="Q658" s="11" t="s">
        <v>26</v>
      </c>
    </row>
    <row r="659" spans="1:17" x14ac:dyDescent="0.25">
      <c r="A659" s="11" t="s">
        <v>1186</v>
      </c>
      <c r="B659" s="12">
        <v>45864</v>
      </c>
      <c r="C659" s="11" t="s">
        <v>787</v>
      </c>
      <c r="D659" s="11" t="s">
        <v>788</v>
      </c>
      <c r="E659" s="11" t="s">
        <v>158</v>
      </c>
      <c r="F659" s="11" t="s">
        <v>21</v>
      </c>
      <c r="G659" s="11">
        <v>5</v>
      </c>
      <c r="H659" s="11">
        <v>55000</v>
      </c>
      <c r="I659" s="11">
        <v>0.2</v>
      </c>
      <c r="J659" s="11">
        <v>220000</v>
      </c>
      <c r="K659" s="11">
        <v>197357.18</v>
      </c>
      <c r="L659" s="11">
        <v>22642.82</v>
      </c>
      <c r="M659" s="11" t="s">
        <v>80</v>
      </c>
      <c r="N659" s="11" t="s">
        <v>81</v>
      </c>
      <c r="O659" s="11" t="s">
        <v>45</v>
      </c>
      <c r="P659" s="11" t="s">
        <v>25</v>
      </c>
      <c r="Q659" s="11" t="s">
        <v>26</v>
      </c>
    </row>
    <row r="660" spans="1:17" x14ac:dyDescent="0.25">
      <c r="A660" s="11" t="s">
        <v>1187</v>
      </c>
      <c r="B660" s="12">
        <v>45714</v>
      </c>
      <c r="C660" s="11" t="s">
        <v>315</v>
      </c>
      <c r="D660" s="11" t="s">
        <v>316</v>
      </c>
      <c r="E660" s="11" t="s">
        <v>158</v>
      </c>
      <c r="F660" s="11" t="s">
        <v>21</v>
      </c>
      <c r="G660" s="11">
        <v>5</v>
      </c>
      <c r="H660" s="11">
        <v>55000</v>
      </c>
      <c r="I660" s="11">
        <v>0.1</v>
      </c>
      <c r="J660" s="11">
        <v>247500</v>
      </c>
      <c r="K660" s="11">
        <v>180722.43</v>
      </c>
      <c r="L660" s="11">
        <v>66777.570000000007</v>
      </c>
      <c r="M660" s="11" t="s">
        <v>36</v>
      </c>
      <c r="N660" s="11" t="s">
        <v>23</v>
      </c>
      <c r="O660" s="11" t="s">
        <v>45</v>
      </c>
      <c r="P660" s="11" t="s">
        <v>25</v>
      </c>
      <c r="Q660" s="11" t="s">
        <v>26</v>
      </c>
    </row>
    <row r="661" spans="1:17" x14ac:dyDescent="0.25">
      <c r="A661" s="11" t="s">
        <v>1188</v>
      </c>
      <c r="B661" s="12">
        <v>45853</v>
      </c>
      <c r="C661" s="11" t="s">
        <v>508</v>
      </c>
      <c r="D661" s="11" t="s">
        <v>509</v>
      </c>
      <c r="E661" s="11" t="s">
        <v>66</v>
      </c>
      <c r="F661" s="11" t="s">
        <v>31</v>
      </c>
      <c r="G661" s="11">
        <v>4</v>
      </c>
      <c r="H661" s="11">
        <v>3500</v>
      </c>
      <c r="I661" s="13">
        <v>0.15</v>
      </c>
      <c r="J661" s="11">
        <v>11900</v>
      </c>
      <c r="K661" s="11">
        <v>9780.1200000000008</v>
      </c>
      <c r="L661" s="11">
        <v>2119.88</v>
      </c>
      <c r="M661" s="11" t="s">
        <v>75</v>
      </c>
      <c r="N661" s="11" t="s">
        <v>76</v>
      </c>
      <c r="O661" s="11" t="s">
        <v>32</v>
      </c>
      <c r="P661" s="11" t="s">
        <v>37</v>
      </c>
      <c r="Q661" s="11" t="s">
        <v>26</v>
      </c>
    </row>
    <row r="662" spans="1:17" x14ac:dyDescent="0.25">
      <c r="A662" s="11" t="s">
        <v>1189</v>
      </c>
      <c r="B662" s="12">
        <v>45842</v>
      </c>
      <c r="C662" s="11" t="s">
        <v>136</v>
      </c>
      <c r="D662" s="11" t="s">
        <v>137</v>
      </c>
      <c r="E662" s="11" t="s">
        <v>112</v>
      </c>
      <c r="F662" s="11" t="s">
        <v>94</v>
      </c>
      <c r="G662" s="11">
        <v>5</v>
      </c>
      <c r="H662" s="11">
        <v>800</v>
      </c>
      <c r="I662" s="11">
        <v>0.15</v>
      </c>
      <c r="J662" s="11">
        <v>3400</v>
      </c>
      <c r="K662" s="11">
        <v>2865.39</v>
      </c>
      <c r="L662" s="11">
        <v>534.61</v>
      </c>
      <c r="M662" s="11" t="s">
        <v>75</v>
      </c>
      <c r="N662" s="11" t="s">
        <v>76</v>
      </c>
      <c r="O662" s="11" t="s">
        <v>24</v>
      </c>
      <c r="P662" s="11" t="s">
        <v>95</v>
      </c>
      <c r="Q662" s="11" t="s">
        <v>26</v>
      </c>
    </row>
    <row r="663" spans="1:17" x14ac:dyDescent="0.25">
      <c r="A663" s="11" t="s">
        <v>1190</v>
      </c>
      <c r="B663" s="12">
        <v>45731</v>
      </c>
      <c r="C663" s="11" t="s">
        <v>1113</v>
      </c>
      <c r="D663" s="11" t="s">
        <v>1114</v>
      </c>
      <c r="E663" s="11" t="s">
        <v>158</v>
      </c>
      <c r="F663" s="11" t="s">
        <v>21</v>
      </c>
      <c r="G663" s="11">
        <v>1</v>
      </c>
      <c r="H663" s="11">
        <v>55000</v>
      </c>
      <c r="I663" s="13">
        <v>0</v>
      </c>
      <c r="J663" s="11">
        <v>55000</v>
      </c>
      <c r="K663" s="11">
        <v>41274.699999999997</v>
      </c>
      <c r="L663" s="11">
        <v>13725.3</v>
      </c>
      <c r="M663" s="11" t="s">
        <v>70</v>
      </c>
      <c r="N663" s="11" t="s">
        <v>71</v>
      </c>
      <c r="O663" s="11" t="s">
        <v>32</v>
      </c>
      <c r="P663" s="11" t="s">
        <v>55</v>
      </c>
      <c r="Q663" s="11" t="s">
        <v>26</v>
      </c>
    </row>
    <row r="664" spans="1:17" x14ac:dyDescent="0.25">
      <c r="A664" s="11" t="s">
        <v>1191</v>
      </c>
      <c r="B664" s="12">
        <v>45875</v>
      </c>
      <c r="C664" s="11" t="s">
        <v>386</v>
      </c>
      <c r="D664" s="11" t="s">
        <v>387</v>
      </c>
      <c r="E664" s="11" t="s">
        <v>30</v>
      </c>
      <c r="F664" s="11" t="s">
        <v>31</v>
      </c>
      <c r="G664" s="11">
        <v>4</v>
      </c>
      <c r="H664" s="11">
        <v>1200</v>
      </c>
      <c r="I664" s="11">
        <v>0.2</v>
      </c>
      <c r="J664" s="11">
        <v>3840</v>
      </c>
      <c r="K664" s="11">
        <v>3682.39</v>
      </c>
      <c r="L664" s="11">
        <v>157.61000000000001</v>
      </c>
      <c r="M664" s="11" t="s">
        <v>80</v>
      </c>
      <c r="N664" s="11" t="s">
        <v>81</v>
      </c>
      <c r="O664" s="11" t="s">
        <v>24</v>
      </c>
      <c r="P664" s="11" t="s">
        <v>37</v>
      </c>
      <c r="Q664" s="11" t="s">
        <v>26</v>
      </c>
    </row>
    <row r="665" spans="1:17" x14ac:dyDescent="0.25">
      <c r="A665" s="11" t="s">
        <v>1192</v>
      </c>
      <c r="B665" s="12">
        <v>45875</v>
      </c>
      <c r="C665" s="11" t="s">
        <v>285</v>
      </c>
      <c r="D665" s="11" t="s">
        <v>286</v>
      </c>
      <c r="E665" s="11" t="s">
        <v>54</v>
      </c>
      <c r="F665" s="11" t="s">
        <v>31</v>
      </c>
      <c r="G665" s="11">
        <v>2</v>
      </c>
      <c r="H665" s="11">
        <v>2800</v>
      </c>
      <c r="I665" s="11">
        <v>0.05</v>
      </c>
      <c r="J665" s="11">
        <v>5320</v>
      </c>
      <c r="K665" s="11">
        <v>4281.63</v>
      </c>
      <c r="L665" s="11">
        <v>1038.3699999999999</v>
      </c>
      <c r="M665" s="11" t="s">
        <v>99</v>
      </c>
      <c r="N665" s="11" t="s">
        <v>71</v>
      </c>
      <c r="O665" s="11" t="s">
        <v>24</v>
      </c>
      <c r="P665" s="11" t="s">
        <v>95</v>
      </c>
      <c r="Q665" s="11" t="s">
        <v>60</v>
      </c>
    </row>
    <row r="666" spans="1:17" x14ac:dyDescent="0.25">
      <c r="A666" s="11" t="s">
        <v>1193</v>
      </c>
      <c r="B666" s="12">
        <v>45953</v>
      </c>
      <c r="C666" s="11" t="s">
        <v>369</v>
      </c>
      <c r="D666" s="11" t="s">
        <v>370</v>
      </c>
      <c r="E666" s="11" t="s">
        <v>41</v>
      </c>
      <c r="F666" s="11" t="s">
        <v>42</v>
      </c>
      <c r="G666" s="11">
        <v>4</v>
      </c>
      <c r="H666" s="11">
        <v>7500</v>
      </c>
      <c r="I666" s="11">
        <v>0.2</v>
      </c>
      <c r="J666" s="11">
        <v>24000</v>
      </c>
      <c r="K666" s="11">
        <v>26249.81</v>
      </c>
      <c r="L666" s="11">
        <v>-2249.81</v>
      </c>
      <c r="M666" s="11" t="s">
        <v>59</v>
      </c>
      <c r="N666" s="11" t="s">
        <v>59</v>
      </c>
      <c r="O666" s="11" t="s">
        <v>24</v>
      </c>
      <c r="P666" s="11" t="s">
        <v>37</v>
      </c>
      <c r="Q666" s="11" t="s">
        <v>60</v>
      </c>
    </row>
    <row r="667" spans="1:17" x14ac:dyDescent="0.25">
      <c r="A667" s="11" t="s">
        <v>1194</v>
      </c>
      <c r="B667" s="12">
        <v>45904</v>
      </c>
      <c r="C667" s="11" t="s">
        <v>68</v>
      </c>
      <c r="D667" s="11" t="s">
        <v>69</v>
      </c>
      <c r="E667" s="11" t="s">
        <v>54</v>
      </c>
      <c r="F667" s="11" t="s">
        <v>31</v>
      </c>
      <c r="G667" s="11">
        <v>1</v>
      </c>
      <c r="H667" s="11">
        <v>2800</v>
      </c>
      <c r="I667" s="11">
        <v>0.2</v>
      </c>
      <c r="J667" s="11">
        <v>2240</v>
      </c>
      <c r="K667" s="11">
        <v>2290.2399999999998</v>
      </c>
      <c r="L667" s="11">
        <v>-50.24</v>
      </c>
      <c r="M667" s="11" t="s">
        <v>43</v>
      </c>
      <c r="N667" s="11" t="s">
        <v>44</v>
      </c>
      <c r="O667" s="11" t="s">
        <v>24</v>
      </c>
      <c r="P667" s="11" t="s">
        <v>46</v>
      </c>
      <c r="Q667" s="11" t="s">
        <v>26</v>
      </c>
    </row>
    <row r="668" spans="1:17" x14ac:dyDescent="0.25">
      <c r="A668" s="11" t="s">
        <v>1195</v>
      </c>
      <c r="B668" s="12">
        <v>45703</v>
      </c>
      <c r="C668" s="11" t="s">
        <v>306</v>
      </c>
      <c r="D668" s="11" t="s">
        <v>307</v>
      </c>
      <c r="E668" s="11" t="s">
        <v>62</v>
      </c>
      <c r="F668" s="11" t="s">
        <v>21</v>
      </c>
      <c r="G668" s="11">
        <v>5</v>
      </c>
      <c r="H668" s="11">
        <v>1800</v>
      </c>
      <c r="I668" s="11">
        <v>0.2</v>
      </c>
      <c r="J668" s="11">
        <v>7200</v>
      </c>
      <c r="K668" s="11">
        <v>7155.47</v>
      </c>
      <c r="L668" s="11">
        <v>44.53</v>
      </c>
      <c r="M668" s="11" t="s">
        <v>22</v>
      </c>
      <c r="N668" s="11" t="s">
        <v>23</v>
      </c>
      <c r="O668" s="11" t="s">
        <v>24</v>
      </c>
      <c r="P668" s="11" t="s">
        <v>55</v>
      </c>
      <c r="Q668" s="11" t="s">
        <v>60</v>
      </c>
    </row>
    <row r="669" spans="1:17" x14ac:dyDescent="0.25">
      <c r="A669" s="11" t="s">
        <v>1196</v>
      </c>
      <c r="B669" s="12">
        <v>45833</v>
      </c>
      <c r="C669" s="11" t="s">
        <v>306</v>
      </c>
      <c r="D669" s="11" t="s">
        <v>307</v>
      </c>
      <c r="E669" s="11" t="s">
        <v>103</v>
      </c>
      <c r="F669" s="11" t="s">
        <v>42</v>
      </c>
      <c r="G669" s="11">
        <v>5</v>
      </c>
      <c r="H669" s="11">
        <v>6000</v>
      </c>
      <c r="I669" s="11">
        <v>0</v>
      </c>
      <c r="J669" s="11">
        <v>30000</v>
      </c>
      <c r="K669" s="11">
        <v>22632.84</v>
      </c>
      <c r="L669" s="11">
        <v>7367.16</v>
      </c>
      <c r="M669" s="11" t="s">
        <v>99</v>
      </c>
      <c r="N669" s="11" t="s">
        <v>71</v>
      </c>
      <c r="O669" s="11" t="s">
        <v>45</v>
      </c>
      <c r="P669" s="11" t="s">
        <v>25</v>
      </c>
      <c r="Q669" s="11" t="s">
        <v>60</v>
      </c>
    </row>
    <row r="670" spans="1:17" x14ac:dyDescent="0.25">
      <c r="A670" s="11" t="s">
        <v>1197</v>
      </c>
      <c r="B670" s="12">
        <v>45808</v>
      </c>
      <c r="C670" s="11" t="s">
        <v>133</v>
      </c>
      <c r="D670" s="11" t="s">
        <v>134</v>
      </c>
      <c r="E670" s="11" t="s">
        <v>66</v>
      </c>
      <c r="F670" s="11" t="s">
        <v>31</v>
      </c>
      <c r="G670" s="11">
        <v>4</v>
      </c>
      <c r="H670" s="11">
        <v>3500</v>
      </c>
      <c r="I670" s="11">
        <v>0.1</v>
      </c>
      <c r="J670" s="11">
        <v>12600</v>
      </c>
      <c r="K670" s="11">
        <v>9213.75</v>
      </c>
      <c r="L670" s="11">
        <v>3386.25</v>
      </c>
      <c r="M670" s="11" t="s">
        <v>36</v>
      </c>
      <c r="N670" s="11" t="s">
        <v>23</v>
      </c>
      <c r="O670" s="11" t="s">
        <v>24</v>
      </c>
      <c r="P670" s="11" t="s">
        <v>46</v>
      </c>
      <c r="Q670" s="11" t="s">
        <v>60</v>
      </c>
    </row>
    <row r="671" spans="1:17" x14ac:dyDescent="0.25">
      <c r="A671" s="11" t="s">
        <v>1198</v>
      </c>
      <c r="B671" s="12">
        <v>45954</v>
      </c>
      <c r="C671" s="11" t="s">
        <v>434</v>
      </c>
      <c r="D671" s="11" t="s">
        <v>435</v>
      </c>
      <c r="E671" s="11" t="s">
        <v>41</v>
      </c>
      <c r="F671" s="11" t="s">
        <v>42</v>
      </c>
      <c r="G671" s="11">
        <v>1</v>
      </c>
      <c r="H671" s="11">
        <v>7500</v>
      </c>
      <c r="I671" s="11">
        <v>0.15</v>
      </c>
      <c r="J671" s="11">
        <v>6375</v>
      </c>
      <c r="K671" s="11">
        <v>4964.04</v>
      </c>
      <c r="L671" s="11">
        <v>1410.96</v>
      </c>
      <c r="M671" s="11" t="s">
        <v>80</v>
      </c>
      <c r="N671" s="11" t="s">
        <v>81</v>
      </c>
      <c r="O671" s="11" t="s">
        <v>45</v>
      </c>
      <c r="P671" s="11" t="s">
        <v>25</v>
      </c>
      <c r="Q671" s="11" t="s">
        <v>26</v>
      </c>
    </row>
    <row r="672" spans="1:17" x14ac:dyDescent="0.25">
      <c r="A672" s="11" t="s">
        <v>1199</v>
      </c>
      <c r="B672" s="12">
        <v>45722</v>
      </c>
      <c r="C672" s="11" t="s">
        <v>957</v>
      </c>
      <c r="D672" s="11" t="s">
        <v>958</v>
      </c>
      <c r="E672" s="11" t="s">
        <v>103</v>
      </c>
      <c r="F672" s="11" t="s">
        <v>42</v>
      </c>
      <c r="G672" s="11">
        <v>4</v>
      </c>
      <c r="H672" s="11">
        <v>6000</v>
      </c>
      <c r="I672" s="11">
        <v>0</v>
      </c>
      <c r="J672" s="11">
        <v>24000</v>
      </c>
      <c r="K672" s="11">
        <v>19926.37</v>
      </c>
      <c r="L672" s="11">
        <v>4073.63</v>
      </c>
      <c r="M672" s="11" t="s">
        <v>43</v>
      </c>
      <c r="N672" s="11" t="s">
        <v>44</v>
      </c>
      <c r="O672" s="11" t="s">
        <v>45</v>
      </c>
      <c r="P672" s="11" t="s">
        <v>95</v>
      </c>
      <c r="Q672" s="11" t="s">
        <v>47</v>
      </c>
    </row>
    <row r="673" spans="1:17" x14ac:dyDescent="0.25">
      <c r="A673" s="11" t="s">
        <v>1200</v>
      </c>
      <c r="B673" s="12">
        <v>45665</v>
      </c>
      <c r="C673" s="11" t="s">
        <v>303</v>
      </c>
      <c r="D673" s="11" t="s">
        <v>304</v>
      </c>
      <c r="E673" s="11" t="s">
        <v>41</v>
      </c>
      <c r="F673" s="11" t="s">
        <v>42</v>
      </c>
      <c r="G673" s="11">
        <v>3</v>
      </c>
      <c r="H673" s="11">
        <v>7500</v>
      </c>
      <c r="I673" s="11">
        <v>0.1</v>
      </c>
      <c r="J673" s="11">
        <v>20250</v>
      </c>
      <c r="K673" s="11">
        <v>15528.63</v>
      </c>
      <c r="L673" s="11">
        <v>4721.37</v>
      </c>
      <c r="M673" s="11" t="s">
        <v>43</v>
      </c>
      <c r="N673" s="11" t="s">
        <v>44</v>
      </c>
      <c r="O673" s="11" t="s">
        <v>24</v>
      </c>
      <c r="P673" s="11" t="s">
        <v>95</v>
      </c>
      <c r="Q673" s="11" t="s">
        <v>60</v>
      </c>
    </row>
    <row r="674" spans="1:17" x14ac:dyDescent="0.25">
      <c r="A674" s="11" t="s">
        <v>1201</v>
      </c>
      <c r="B674" s="12">
        <v>45791</v>
      </c>
      <c r="C674" s="11" t="s">
        <v>230</v>
      </c>
      <c r="D674" s="11" t="s">
        <v>231</v>
      </c>
      <c r="E674" s="11" t="s">
        <v>131</v>
      </c>
      <c r="F674" s="11" t="s">
        <v>21</v>
      </c>
      <c r="G674" s="11">
        <v>3</v>
      </c>
      <c r="H674" s="11">
        <v>1600</v>
      </c>
      <c r="I674" s="11">
        <v>0.05</v>
      </c>
      <c r="J674" s="11">
        <v>4560</v>
      </c>
      <c r="K674" s="11">
        <v>3319.61</v>
      </c>
      <c r="L674" s="11">
        <v>1240.3900000000001</v>
      </c>
      <c r="M674" s="11" t="s">
        <v>22</v>
      </c>
      <c r="N674" s="11" t="s">
        <v>23</v>
      </c>
      <c r="O674" s="11" t="s">
        <v>24</v>
      </c>
      <c r="P674" s="11" t="s">
        <v>55</v>
      </c>
      <c r="Q674" s="11" t="s">
        <v>26</v>
      </c>
    </row>
    <row r="675" spans="1:17" x14ac:dyDescent="0.25">
      <c r="A675" s="11" t="s">
        <v>1202</v>
      </c>
      <c r="B675" s="12">
        <v>45736</v>
      </c>
      <c r="C675" s="11" t="s">
        <v>263</v>
      </c>
      <c r="D675" s="11" t="s">
        <v>264</v>
      </c>
      <c r="E675" s="11" t="s">
        <v>62</v>
      </c>
      <c r="F675" s="11" t="s">
        <v>21</v>
      </c>
      <c r="G675" s="11">
        <v>2</v>
      </c>
      <c r="H675" s="11">
        <v>1800</v>
      </c>
      <c r="I675" s="11">
        <v>0.2</v>
      </c>
      <c r="J675" s="11">
        <v>2880</v>
      </c>
      <c r="K675" s="11">
        <v>3162.69</v>
      </c>
      <c r="L675" s="11">
        <v>-282.69</v>
      </c>
      <c r="M675" s="11" t="s">
        <v>70</v>
      </c>
      <c r="N675" s="11" t="s">
        <v>71</v>
      </c>
      <c r="O675" s="11" t="s">
        <v>45</v>
      </c>
      <c r="P675" s="11" t="s">
        <v>95</v>
      </c>
      <c r="Q675" s="11" t="s">
        <v>60</v>
      </c>
    </row>
    <row r="676" spans="1:17" x14ac:dyDescent="0.25">
      <c r="A676" s="11" t="s">
        <v>1203</v>
      </c>
      <c r="B676" s="12">
        <v>45953</v>
      </c>
      <c r="C676" s="11" t="s">
        <v>1204</v>
      </c>
      <c r="D676" s="11" t="s">
        <v>1205</v>
      </c>
      <c r="E676" s="11" t="s">
        <v>131</v>
      </c>
      <c r="F676" s="11" t="s">
        <v>21</v>
      </c>
      <c r="G676" s="11">
        <v>2</v>
      </c>
      <c r="H676" s="11">
        <v>1600</v>
      </c>
      <c r="I676" s="13">
        <v>0.05</v>
      </c>
      <c r="J676" s="11">
        <v>3040</v>
      </c>
      <c r="K676" s="11">
        <v>2552.6999999999998</v>
      </c>
      <c r="L676" s="11">
        <v>487.3</v>
      </c>
      <c r="M676" s="11" t="s">
        <v>59</v>
      </c>
      <c r="N676" s="11" t="s">
        <v>59</v>
      </c>
      <c r="O676" s="11" t="s">
        <v>32</v>
      </c>
      <c r="P676" s="11" t="s">
        <v>55</v>
      </c>
      <c r="Q676" s="11" t="s">
        <v>26</v>
      </c>
    </row>
    <row r="677" spans="1:17" x14ac:dyDescent="0.25">
      <c r="A677" s="11" t="s">
        <v>1206</v>
      </c>
      <c r="B677" s="12">
        <v>45812</v>
      </c>
      <c r="C677" s="11" t="s">
        <v>375</v>
      </c>
      <c r="D677" s="11" t="s">
        <v>376</v>
      </c>
      <c r="E677" s="11" t="s">
        <v>131</v>
      </c>
      <c r="F677" s="11" t="s">
        <v>21</v>
      </c>
      <c r="G677" s="11">
        <v>4</v>
      </c>
      <c r="H677" s="11">
        <v>1600</v>
      </c>
      <c r="I677" s="11">
        <v>0.15</v>
      </c>
      <c r="J677" s="11">
        <v>5440</v>
      </c>
      <c r="K677" s="11">
        <v>5555.83</v>
      </c>
      <c r="L677" s="11">
        <v>-115.83</v>
      </c>
      <c r="M677" s="11" t="s">
        <v>70</v>
      </c>
      <c r="N677" s="11" t="s">
        <v>71</v>
      </c>
      <c r="O677" s="11" t="s">
        <v>24</v>
      </c>
      <c r="P677" s="11" t="s">
        <v>95</v>
      </c>
      <c r="Q677" s="11" t="s">
        <v>26</v>
      </c>
    </row>
    <row r="678" spans="1:17" x14ac:dyDescent="0.25">
      <c r="A678" s="11" t="s">
        <v>1207</v>
      </c>
      <c r="B678" s="12">
        <v>45732</v>
      </c>
      <c r="C678" s="11" t="s">
        <v>653</v>
      </c>
      <c r="D678" s="11" t="s">
        <v>654</v>
      </c>
      <c r="E678" s="11" t="s">
        <v>85</v>
      </c>
      <c r="F678" s="11" t="s">
        <v>86</v>
      </c>
      <c r="G678" s="11">
        <v>4</v>
      </c>
      <c r="H678" s="11">
        <v>450</v>
      </c>
      <c r="I678" s="11">
        <v>0.1</v>
      </c>
      <c r="J678" s="11">
        <v>1620</v>
      </c>
      <c r="K678" s="11">
        <v>1289.56</v>
      </c>
      <c r="L678" s="11">
        <v>330.44</v>
      </c>
      <c r="M678" s="11" t="s">
        <v>75</v>
      </c>
      <c r="N678" s="11" t="s">
        <v>76</v>
      </c>
      <c r="O678" s="11" t="s">
        <v>45</v>
      </c>
      <c r="P678" s="11" t="s">
        <v>37</v>
      </c>
      <c r="Q678" s="11" t="s">
        <v>60</v>
      </c>
    </row>
    <row r="679" spans="1:17" x14ac:dyDescent="0.25">
      <c r="A679" s="11" t="s">
        <v>1208</v>
      </c>
      <c r="B679" s="12">
        <v>45707</v>
      </c>
      <c r="C679" s="11" t="s">
        <v>342</v>
      </c>
      <c r="D679" s="11" t="s">
        <v>343</v>
      </c>
      <c r="E679" s="11" t="s">
        <v>66</v>
      </c>
      <c r="F679" s="11" t="s">
        <v>31</v>
      </c>
      <c r="G679" s="11">
        <v>5</v>
      </c>
      <c r="H679" s="11">
        <v>3500</v>
      </c>
      <c r="I679" s="11">
        <v>0</v>
      </c>
      <c r="J679" s="11">
        <v>17500</v>
      </c>
      <c r="K679" s="11">
        <v>14773.06</v>
      </c>
      <c r="L679" s="11">
        <v>2726.94</v>
      </c>
      <c r="M679" s="11" t="s">
        <v>59</v>
      </c>
      <c r="N679" s="11" t="s">
        <v>59</v>
      </c>
      <c r="O679" s="11" t="s">
        <v>24</v>
      </c>
      <c r="P679" s="11" t="s">
        <v>46</v>
      </c>
      <c r="Q679" s="11" t="s">
        <v>26</v>
      </c>
    </row>
    <row r="680" spans="1:17" x14ac:dyDescent="0.25">
      <c r="A680" s="11" t="s">
        <v>1209</v>
      </c>
      <c r="B680" s="12">
        <v>45788</v>
      </c>
      <c r="C680" s="11" t="s">
        <v>454</v>
      </c>
      <c r="D680" s="11" t="s">
        <v>455</v>
      </c>
      <c r="E680" s="11" t="s">
        <v>41</v>
      </c>
      <c r="F680" s="11" t="s">
        <v>42</v>
      </c>
      <c r="G680" s="11">
        <v>3</v>
      </c>
      <c r="H680" s="11">
        <v>7500</v>
      </c>
      <c r="I680" s="11">
        <v>0</v>
      </c>
      <c r="J680" s="11">
        <v>22500</v>
      </c>
      <c r="K680" s="11">
        <v>18626.060000000001</v>
      </c>
      <c r="L680" s="11">
        <v>3873.94</v>
      </c>
      <c r="M680" s="11" t="s">
        <v>75</v>
      </c>
      <c r="N680" s="11" t="s">
        <v>76</v>
      </c>
      <c r="O680" s="11" t="s">
        <v>24</v>
      </c>
      <c r="P680" s="11" t="s">
        <v>95</v>
      </c>
      <c r="Q680" s="11" t="s">
        <v>60</v>
      </c>
    </row>
    <row r="681" spans="1:17" x14ac:dyDescent="0.25">
      <c r="A681" s="11" t="s">
        <v>1210</v>
      </c>
      <c r="B681" s="12">
        <v>46004</v>
      </c>
      <c r="C681" s="11" t="s">
        <v>641</v>
      </c>
      <c r="D681" s="11" t="s">
        <v>642</v>
      </c>
      <c r="E681" s="11" t="s">
        <v>112</v>
      </c>
      <c r="F681" s="11" t="s">
        <v>94</v>
      </c>
      <c r="G681" s="11">
        <v>5</v>
      </c>
      <c r="H681" s="11">
        <v>800</v>
      </c>
      <c r="I681" s="11">
        <v>0.1</v>
      </c>
      <c r="J681" s="11">
        <v>3600</v>
      </c>
      <c r="K681" s="11">
        <v>3103.8</v>
      </c>
      <c r="L681" s="11">
        <v>496.2</v>
      </c>
      <c r="M681" s="11" t="s">
        <v>80</v>
      </c>
      <c r="N681" s="11" t="s">
        <v>81</v>
      </c>
      <c r="O681" s="11" t="s">
        <v>24</v>
      </c>
      <c r="P681" s="11" t="s">
        <v>55</v>
      </c>
      <c r="Q681" s="11" t="s">
        <v>26</v>
      </c>
    </row>
    <row r="682" spans="1:17" x14ac:dyDescent="0.25">
      <c r="A682" s="11" t="s">
        <v>1211</v>
      </c>
      <c r="B682" s="12">
        <v>45926</v>
      </c>
      <c r="C682" s="11" t="s">
        <v>390</v>
      </c>
      <c r="D682" s="11" t="s">
        <v>391</v>
      </c>
      <c r="E682" s="11" t="s">
        <v>158</v>
      </c>
      <c r="F682" s="11" t="s">
        <v>21</v>
      </c>
      <c r="G682" s="11">
        <v>4</v>
      </c>
      <c r="H682" s="11">
        <v>55000</v>
      </c>
      <c r="I682" s="13">
        <v>0</v>
      </c>
      <c r="J682" s="11">
        <v>220000</v>
      </c>
      <c r="K682" s="11">
        <v>165564.68</v>
      </c>
      <c r="L682" s="11">
        <v>54435.32</v>
      </c>
      <c r="M682" s="11" t="s">
        <v>43</v>
      </c>
      <c r="N682" s="11" t="s">
        <v>44</v>
      </c>
      <c r="O682" s="11" t="s">
        <v>32</v>
      </c>
      <c r="P682" s="11" t="s">
        <v>46</v>
      </c>
      <c r="Q682" s="11" t="s">
        <v>26</v>
      </c>
    </row>
    <row r="683" spans="1:17" x14ac:dyDescent="0.25">
      <c r="A683" s="11" t="s">
        <v>1212</v>
      </c>
      <c r="B683" s="12">
        <v>45975</v>
      </c>
      <c r="C683" s="11" t="s">
        <v>659</v>
      </c>
      <c r="D683" s="11" t="s">
        <v>660</v>
      </c>
      <c r="E683" s="11" t="s">
        <v>112</v>
      </c>
      <c r="F683" s="11" t="s">
        <v>94</v>
      </c>
      <c r="G683" s="11">
        <v>1</v>
      </c>
      <c r="H683" s="11">
        <v>800</v>
      </c>
      <c r="I683" s="11">
        <v>0</v>
      </c>
      <c r="J683" s="11">
        <v>800</v>
      </c>
      <c r="K683" s="11">
        <v>692.69</v>
      </c>
      <c r="L683" s="11">
        <v>107.31</v>
      </c>
      <c r="M683" s="11" t="s">
        <v>43</v>
      </c>
      <c r="N683" s="11" t="s">
        <v>44</v>
      </c>
      <c r="O683" s="11" t="s">
        <v>24</v>
      </c>
      <c r="P683" s="11" t="s">
        <v>95</v>
      </c>
      <c r="Q683" s="11" t="s">
        <v>47</v>
      </c>
    </row>
    <row r="684" spans="1:17" x14ac:dyDescent="0.25">
      <c r="A684" s="11" t="s">
        <v>1213</v>
      </c>
      <c r="B684" s="12">
        <v>45967</v>
      </c>
      <c r="C684" s="11" t="s">
        <v>970</v>
      </c>
      <c r="D684" s="11" t="s">
        <v>971</v>
      </c>
      <c r="E684" s="11" t="s">
        <v>20</v>
      </c>
      <c r="F684" s="11" t="s">
        <v>21</v>
      </c>
      <c r="G684" s="11">
        <v>1</v>
      </c>
      <c r="H684" s="11">
        <v>4500</v>
      </c>
      <c r="I684" s="11">
        <v>0</v>
      </c>
      <c r="J684" s="11">
        <v>4500</v>
      </c>
      <c r="K684" s="11">
        <v>3604.37</v>
      </c>
      <c r="L684" s="11">
        <v>895.63</v>
      </c>
      <c r="M684" s="11" t="s">
        <v>80</v>
      </c>
      <c r="N684" s="11" t="s">
        <v>81</v>
      </c>
      <c r="O684" s="11" t="s">
        <v>24</v>
      </c>
      <c r="P684" s="11" t="s">
        <v>25</v>
      </c>
      <c r="Q684" s="11" t="s">
        <v>26</v>
      </c>
    </row>
    <row r="685" spans="1:17" x14ac:dyDescent="0.25">
      <c r="A685" s="11" t="s">
        <v>1214</v>
      </c>
      <c r="B685" s="12">
        <v>45808</v>
      </c>
      <c r="C685" s="11" t="s">
        <v>577</v>
      </c>
      <c r="D685" s="11" t="s">
        <v>578</v>
      </c>
      <c r="E685" s="11" t="s">
        <v>20</v>
      </c>
      <c r="F685" s="11" t="s">
        <v>21</v>
      </c>
      <c r="G685" s="11">
        <v>2</v>
      </c>
      <c r="H685" s="11">
        <v>4500</v>
      </c>
      <c r="I685" s="11">
        <v>0.1</v>
      </c>
      <c r="J685" s="11">
        <v>8100</v>
      </c>
      <c r="K685" s="11">
        <v>7787.9</v>
      </c>
      <c r="L685" s="11">
        <v>312.10000000000002</v>
      </c>
      <c r="M685" s="11" t="s">
        <v>70</v>
      </c>
      <c r="N685" s="11" t="s">
        <v>71</v>
      </c>
      <c r="O685" s="11" t="s">
        <v>24</v>
      </c>
      <c r="P685" s="11" t="s">
        <v>37</v>
      </c>
      <c r="Q685" s="11" t="s">
        <v>26</v>
      </c>
    </row>
    <row r="686" spans="1:17" x14ac:dyDescent="0.25">
      <c r="A686" s="11" t="s">
        <v>1215</v>
      </c>
      <c r="B686" s="12">
        <v>45740</v>
      </c>
      <c r="C686" s="11" t="s">
        <v>395</v>
      </c>
      <c r="D686" s="11" t="s">
        <v>396</v>
      </c>
      <c r="E686" s="11" t="s">
        <v>30</v>
      </c>
      <c r="F686" s="11" t="s">
        <v>31</v>
      </c>
      <c r="G686" s="11">
        <v>3</v>
      </c>
      <c r="H686" s="11">
        <v>1200</v>
      </c>
      <c r="I686" s="11">
        <v>0.1</v>
      </c>
      <c r="J686" s="11">
        <v>3240</v>
      </c>
      <c r="K686" s="11">
        <v>2983.44</v>
      </c>
      <c r="L686" s="11">
        <v>256.56</v>
      </c>
      <c r="M686" s="11" t="s">
        <v>43</v>
      </c>
      <c r="N686" s="11" t="s">
        <v>44</v>
      </c>
      <c r="O686" s="11" t="s">
        <v>45</v>
      </c>
      <c r="P686" s="11" t="s">
        <v>37</v>
      </c>
      <c r="Q686" s="11" t="s">
        <v>26</v>
      </c>
    </row>
    <row r="687" spans="1:17" x14ac:dyDescent="0.25">
      <c r="A687" s="11" t="s">
        <v>1216</v>
      </c>
      <c r="B687" s="12">
        <v>45749</v>
      </c>
      <c r="C687" s="11" t="s">
        <v>254</v>
      </c>
      <c r="D687" s="11" t="s">
        <v>255</v>
      </c>
      <c r="E687" s="11" t="s">
        <v>141</v>
      </c>
      <c r="F687" s="11" t="s">
        <v>21</v>
      </c>
      <c r="G687" s="11">
        <v>3</v>
      </c>
      <c r="H687" s="11">
        <v>22000</v>
      </c>
      <c r="I687" s="13">
        <v>0.1</v>
      </c>
      <c r="J687" s="11">
        <v>59400</v>
      </c>
      <c r="K687" s="11">
        <v>50364.34</v>
      </c>
      <c r="L687" s="11">
        <v>9035.66</v>
      </c>
      <c r="M687" s="11" t="s">
        <v>70</v>
      </c>
      <c r="N687" s="11" t="s">
        <v>71</v>
      </c>
      <c r="O687" s="11" t="s">
        <v>32</v>
      </c>
      <c r="P687" s="11" t="s">
        <v>25</v>
      </c>
      <c r="Q687" s="11" t="s">
        <v>26</v>
      </c>
    </row>
    <row r="688" spans="1:17" x14ac:dyDescent="0.25">
      <c r="A688" s="11" t="s">
        <v>1217</v>
      </c>
      <c r="B688" s="12">
        <v>45731</v>
      </c>
      <c r="C688" s="11" t="s">
        <v>754</v>
      </c>
      <c r="D688" s="11" t="s">
        <v>755</v>
      </c>
      <c r="E688" s="11" t="s">
        <v>93</v>
      </c>
      <c r="F688" s="11" t="s">
        <v>94</v>
      </c>
      <c r="G688" s="11">
        <v>4</v>
      </c>
      <c r="H688" s="11">
        <v>2800</v>
      </c>
      <c r="I688" s="13">
        <v>0</v>
      </c>
      <c r="J688" s="11">
        <v>11200</v>
      </c>
      <c r="K688" s="11">
        <v>8861.58</v>
      </c>
      <c r="L688" s="11">
        <v>2338.42</v>
      </c>
      <c r="M688" s="11" t="s">
        <v>75</v>
      </c>
      <c r="N688" s="11" t="s">
        <v>76</v>
      </c>
      <c r="O688" s="11" t="s">
        <v>32</v>
      </c>
      <c r="P688" s="11" t="s">
        <v>37</v>
      </c>
      <c r="Q688" s="11" t="s">
        <v>60</v>
      </c>
    </row>
    <row r="689" spans="1:17" x14ac:dyDescent="0.25">
      <c r="A689" s="11" t="s">
        <v>1218</v>
      </c>
      <c r="B689" s="12">
        <v>45695</v>
      </c>
      <c r="C689" s="11" t="s">
        <v>434</v>
      </c>
      <c r="D689" s="11" t="s">
        <v>435</v>
      </c>
      <c r="E689" s="11" t="s">
        <v>41</v>
      </c>
      <c r="F689" s="11" t="s">
        <v>42</v>
      </c>
      <c r="G689" s="11">
        <v>1</v>
      </c>
      <c r="H689" s="11">
        <v>7500</v>
      </c>
      <c r="I689" s="11">
        <v>0</v>
      </c>
      <c r="J689" s="11">
        <v>7500</v>
      </c>
      <c r="K689" s="11">
        <v>6130.02</v>
      </c>
      <c r="L689" s="11">
        <v>1369.98</v>
      </c>
      <c r="M689" s="11" t="s">
        <v>43</v>
      </c>
      <c r="N689" s="11" t="s">
        <v>44</v>
      </c>
      <c r="O689" s="11" t="s">
        <v>45</v>
      </c>
      <c r="P689" s="11" t="s">
        <v>55</v>
      </c>
      <c r="Q689" s="11" t="s">
        <v>26</v>
      </c>
    </row>
    <row r="690" spans="1:17" x14ac:dyDescent="0.25">
      <c r="A690" s="11" t="s">
        <v>1219</v>
      </c>
      <c r="B690" s="12">
        <v>45998</v>
      </c>
      <c r="C690" s="11" t="s">
        <v>633</v>
      </c>
      <c r="D690" s="11" t="s">
        <v>634</v>
      </c>
      <c r="E690" s="11" t="s">
        <v>107</v>
      </c>
      <c r="F690" s="11" t="s">
        <v>108</v>
      </c>
      <c r="G690" s="11">
        <v>1</v>
      </c>
      <c r="H690" s="11">
        <v>1400</v>
      </c>
      <c r="I690" s="11">
        <v>0</v>
      </c>
      <c r="J690" s="11">
        <v>1400</v>
      </c>
      <c r="K690" s="11">
        <v>958.82</v>
      </c>
      <c r="L690" s="11">
        <v>441.18</v>
      </c>
      <c r="M690" s="11" t="s">
        <v>75</v>
      </c>
      <c r="N690" s="11" t="s">
        <v>76</v>
      </c>
      <c r="O690" s="11" t="s">
        <v>45</v>
      </c>
      <c r="P690" s="11" t="s">
        <v>37</v>
      </c>
      <c r="Q690" s="11" t="s">
        <v>47</v>
      </c>
    </row>
    <row r="691" spans="1:17" x14ac:dyDescent="0.25">
      <c r="A691" s="11" t="s">
        <v>1220</v>
      </c>
      <c r="B691" s="12">
        <v>45902</v>
      </c>
      <c r="C691" s="11" t="s">
        <v>730</v>
      </c>
      <c r="D691" s="11" t="s">
        <v>731</v>
      </c>
      <c r="E691" s="11" t="s">
        <v>158</v>
      </c>
      <c r="F691" s="11" t="s">
        <v>21</v>
      </c>
      <c r="G691" s="11">
        <v>5</v>
      </c>
      <c r="H691" s="11">
        <v>55000</v>
      </c>
      <c r="I691" s="13">
        <v>0.15</v>
      </c>
      <c r="J691" s="11">
        <v>233750</v>
      </c>
      <c r="K691" s="11">
        <v>232136.11</v>
      </c>
      <c r="L691" s="11">
        <v>1613.89</v>
      </c>
      <c r="M691" s="11" t="s">
        <v>75</v>
      </c>
      <c r="N691" s="11" t="s">
        <v>76</v>
      </c>
      <c r="O691" s="11" t="s">
        <v>32</v>
      </c>
      <c r="P691" s="11" t="s">
        <v>25</v>
      </c>
      <c r="Q691" s="11" t="s">
        <v>26</v>
      </c>
    </row>
    <row r="692" spans="1:17" x14ac:dyDescent="0.25">
      <c r="A692" s="11" t="s">
        <v>1221</v>
      </c>
      <c r="B692" s="12">
        <v>45720</v>
      </c>
      <c r="C692" s="11" t="s">
        <v>1165</v>
      </c>
      <c r="D692" s="11" t="s">
        <v>1166</v>
      </c>
      <c r="E692" s="11" t="s">
        <v>158</v>
      </c>
      <c r="F692" s="11" t="s">
        <v>21</v>
      </c>
      <c r="G692" s="11">
        <v>4</v>
      </c>
      <c r="H692" s="11">
        <v>55000</v>
      </c>
      <c r="I692" s="11">
        <v>0.15</v>
      </c>
      <c r="J692" s="11">
        <v>187000</v>
      </c>
      <c r="K692" s="11">
        <v>177500.89</v>
      </c>
      <c r="L692" s="11">
        <v>9499.11</v>
      </c>
      <c r="M692" s="11" t="s">
        <v>59</v>
      </c>
      <c r="N692" s="11" t="s">
        <v>59</v>
      </c>
      <c r="O692" s="11" t="s">
        <v>45</v>
      </c>
      <c r="P692" s="11" t="s">
        <v>55</v>
      </c>
      <c r="Q692" s="11" t="s">
        <v>60</v>
      </c>
    </row>
    <row r="693" spans="1:17" x14ac:dyDescent="0.25">
      <c r="A693" s="11" t="s">
        <v>1222</v>
      </c>
      <c r="B693" s="12">
        <v>45832</v>
      </c>
      <c r="C693" s="11" t="s">
        <v>91</v>
      </c>
      <c r="D693" s="11" t="s">
        <v>92</v>
      </c>
      <c r="E693" s="11" t="s">
        <v>62</v>
      </c>
      <c r="F693" s="11" t="s">
        <v>21</v>
      </c>
      <c r="G693" s="11">
        <v>3</v>
      </c>
      <c r="H693" s="11">
        <v>1800</v>
      </c>
      <c r="I693" s="11">
        <v>0.2</v>
      </c>
      <c r="J693" s="11">
        <v>4320</v>
      </c>
      <c r="K693" s="11">
        <v>4080.87</v>
      </c>
      <c r="L693" s="11">
        <v>239.13</v>
      </c>
      <c r="M693" s="11" t="s">
        <v>43</v>
      </c>
      <c r="N693" s="11" t="s">
        <v>44</v>
      </c>
      <c r="O693" s="11" t="s">
        <v>45</v>
      </c>
      <c r="P693" s="11" t="s">
        <v>95</v>
      </c>
      <c r="Q693" s="11" t="s">
        <v>26</v>
      </c>
    </row>
    <row r="694" spans="1:17" x14ac:dyDescent="0.25">
      <c r="A694" s="11" t="s">
        <v>1223</v>
      </c>
      <c r="B694" s="12">
        <v>45811</v>
      </c>
      <c r="C694" s="11" t="s">
        <v>662</v>
      </c>
      <c r="D694" s="11" t="s">
        <v>663</v>
      </c>
      <c r="E694" s="11" t="s">
        <v>141</v>
      </c>
      <c r="F694" s="11" t="s">
        <v>21</v>
      </c>
      <c r="G694" s="11">
        <v>4</v>
      </c>
      <c r="H694" s="11">
        <v>22000</v>
      </c>
      <c r="I694" s="11">
        <v>0.05</v>
      </c>
      <c r="J694" s="11">
        <v>83600</v>
      </c>
      <c r="K694" s="11">
        <v>59360.98</v>
      </c>
      <c r="L694" s="11">
        <v>24239.02</v>
      </c>
      <c r="M694" s="11" t="s">
        <v>75</v>
      </c>
      <c r="N694" s="11" t="s">
        <v>76</v>
      </c>
      <c r="O694" s="11" t="s">
        <v>24</v>
      </c>
      <c r="P694" s="11" t="s">
        <v>46</v>
      </c>
      <c r="Q694" s="11" t="s">
        <v>26</v>
      </c>
    </row>
    <row r="695" spans="1:17" x14ac:dyDescent="0.25">
      <c r="A695" s="11" t="s">
        <v>1224</v>
      </c>
      <c r="B695" s="12">
        <v>45729</v>
      </c>
      <c r="C695" s="11" t="s">
        <v>999</v>
      </c>
      <c r="D695" s="11" t="s">
        <v>1000</v>
      </c>
      <c r="E695" s="11" t="s">
        <v>62</v>
      </c>
      <c r="F695" s="11" t="s">
        <v>21</v>
      </c>
      <c r="G695" s="11">
        <v>4</v>
      </c>
      <c r="H695" s="11">
        <v>1800</v>
      </c>
      <c r="I695" s="11">
        <v>0.05</v>
      </c>
      <c r="J695" s="11">
        <v>6840</v>
      </c>
      <c r="K695" s="11">
        <v>4722</v>
      </c>
      <c r="L695" s="11">
        <v>2118</v>
      </c>
      <c r="M695" s="11" t="s">
        <v>99</v>
      </c>
      <c r="N695" s="11" t="s">
        <v>71</v>
      </c>
      <c r="O695" s="11" t="s">
        <v>24</v>
      </c>
      <c r="P695" s="11" t="s">
        <v>95</v>
      </c>
      <c r="Q695" s="11" t="s">
        <v>26</v>
      </c>
    </row>
    <row r="696" spans="1:17" x14ac:dyDescent="0.25">
      <c r="A696" s="11" t="s">
        <v>1225</v>
      </c>
      <c r="B696" s="12">
        <v>45987</v>
      </c>
      <c r="C696" s="11" t="s">
        <v>353</v>
      </c>
      <c r="D696" s="11" t="s">
        <v>354</v>
      </c>
      <c r="E696" s="11" t="s">
        <v>85</v>
      </c>
      <c r="F696" s="11" t="s">
        <v>86</v>
      </c>
      <c r="G696" s="11">
        <v>1</v>
      </c>
      <c r="H696" s="11">
        <v>450</v>
      </c>
      <c r="I696" s="11">
        <v>0.2</v>
      </c>
      <c r="J696" s="11">
        <v>360</v>
      </c>
      <c r="K696" s="11">
        <v>347.76</v>
      </c>
      <c r="L696" s="11">
        <v>12.24</v>
      </c>
      <c r="M696" s="11" t="s">
        <v>36</v>
      </c>
      <c r="N696" s="11" t="s">
        <v>23</v>
      </c>
      <c r="O696" s="11" t="s">
        <v>45</v>
      </c>
      <c r="P696" s="11" t="s">
        <v>55</v>
      </c>
      <c r="Q696" s="11" t="s">
        <v>26</v>
      </c>
    </row>
    <row r="697" spans="1:17" x14ac:dyDescent="0.25">
      <c r="A697" s="11" t="s">
        <v>1226</v>
      </c>
      <c r="B697" s="12">
        <v>45679</v>
      </c>
      <c r="C697" s="11" t="s">
        <v>272</v>
      </c>
      <c r="D697" s="11" t="s">
        <v>273</v>
      </c>
      <c r="E697" s="11" t="s">
        <v>66</v>
      </c>
      <c r="F697" s="11" t="s">
        <v>31</v>
      </c>
      <c r="G697" s="11">
        <v>1</v>
      </c>
      <c r="H697" s="11">
        <v>3500</v>
      </c>
      <c r="I697" s="11">
        <v>0.1</v>
      </c>
      <c r="J697" s="11">
        <v>3150</v>
      </c>
      <c r="K697" s="11">
        <v>2445.4</v>
      </c>
      <c r="L697" s="11">
        <v>704.6</v>
      </c>
      <c r="M697" s="11" t="s">
        <v>75</v>
      </c>
      <c r="N697" s="11" t="s">
        <v>76</v>
      </c>
      <c r="O697" s="11" t="s">
        <v>24</v>
      </c>
      <c r="P697" s="11" t="s">
        <v>25</v>
      </c>
      <c r="Q697" s="11" t="s">
        <v>26</v>
      </c>
    </row>
    <row r="698" spans="1:17" x14ac:dyDescent="0.25">
      <c r="A698" s="11" t="s">
        <v>1227</v>
      </c>
      <c r="B698" s="12">
        <v>45694</v>
      </c>
      <c r="C698" s="11" t="s">
        <v>963</v>
      </c>
      <c r="D698" s="11" t="s">
        <v>964</v>
      </c>
      <c r="E698" s="11" t="s">
        <v>107</v>
      </c>
      <c r="F698" s="11" t="s">
        <v>108</v>
      </c>
      <c r="G698" s="11">
        <v>5</v>
      </c>
      <c r="H698" s="11">
        <v>1400</v>
      </c>
      <c r="I698" s="11">
        <v>0.05</v>
      </c>
      <c r="J698" s="11">
        <v>6650</v>
      </c>
      <c r="K698" s="11">
        <v>4777.96</v>
      </c>
      <c r="L698" s="11">
        <v>1872.04</v>
      </c>
      <c r="M698" s="11" t="s">
        <v>99</v>
      </c>
      <c r="N698" s="11" t="s">
        <v>71</v>
      </c>
      <c r="O698" s="11" t="s">
        <v>24</v>
      </c>
      <c r="P698" s="11" t="s">
        <v>55</v>
      </c>
      <c r="Q698" s="11" t="s">
        <v>26</v>
      </c>
    </row>
    <row r="699" spans="1:17" x14ac:dyDescent="0.25">
      <c r="A699" s="11" t="s">
        <v>1228</v>
      </c>
      <c r="B699" s="12">
        <v>45665</v>
      </c>
      <c r="C699" s="11" t="s">
        <v>487</v>
      </c>
      <c r="D699" s="11" t="s">
        <v>488</v>
      </c>
      <c r="E699" s="11" t="s">
        <v>141</v>
      </c>
      <c r="F699" s="11" t="s">
        <v>21</v>
      </c>
      <c r="G699" s="11">
        <v>2</v>
      </c>
      <c r="H699" s="11">
        <v>22000</v>
      </c>
      <c r="I699" s="11">
        <v>0.05</v>
      </c>
      <c r="J699" s="11">
        <v>41800</v>
      </c>
      <c r="K699" s="11">
        <v>29105.57</v>
      </c>
      <c r="L699" s="11">
        <v>12694.43</v>
      </c>
      <c r="M699" s="11" t="s">
        <v>80</v>
      </c>
      <c r="N699" s="11" t="s">
        <v>81</v>
      </c>
      <c r="O699" s="11" t="s">
        <v>45</v>
      </c>
      <c r="P699" s="11" t="s">
        <v>55</v>
      </c>
      <c r="Q699" s="11" t="s">
        <v>26</v>
      </c>
    </row>
    <row r="700" spans="1:17" x14ac:dyDescent="0.25">
      <c r="A700" s="11" t="s">
        <v>1229</v>
      </c>
      <c r="B700" s="12">
        <v>45712</v>
      </c>
      <c r="C700" s="11" t="s">
        <v>353</v>
      </c>
      <c r="D700" s="11" t="s">
        <v>354</v>
      </c>
      <c r="E700" s="11" t="s">
        <v>93</v>
      </c>
      <c r="F700" s="11" t="s">
        <v>94</v>
      </c>
      <c r="G700" s="11">
        <v>5</v>
      </c>
      <c r="H700" s="11">
        <v>2800</v>
      </c>
      <c r="I700" s="11">
        <v>0</v>
      </c>
      <c r="J700" s="11">
        <v>14000</v>
      </c>
      <c r="K700" s="11">
        <v>11015.83</v>
      </c>
      <c r="L700" s="11">
        <v>2984.17</v>
      </c>
      <c r="M700" s="11" t="s">
        <v>43</v>
      </c>
      <c r="N700" s="11" t="s">
        <v>44</v>
      </c>
      <c r="O700" s="11" t="s">
        <v>24</v>
      </c>
      <c r="P700" s="11" t="s">
        <v>95</v>
      </c>
      <c r="Q700" s="11" t="s">
        <v>26</v>
      </c>
    </row>
    <row r="701" spans="1:17" x14ac:dyDescent="0.25">
      <c r="A701" s="11" t="s">
        <v>1230</v>
      </c>
      <c r="B701" s="12">
        <v>46005</v>
      </c>
      <c r="C701" s="11" t="s">
        <v>1060</v>
      </c>
      <c r="D701" s="11" t="s">
        <v>1061</v>
      </c>
      <c r="E701" s="11" t="s">
        <v>112</v>
      </c>
      <c r="F701" s="11" t="s">
        <v>94</v>
      </c>
      <c r="G701" s="11">
        <v>4</v>
      </c>
      <c r="H701" s="11">
        <v>800</v>
      </c>
      <c r="I701" s="11">
        <v>0.1</v>
      </c>
      <c r="J701" s="11">
        <v>2880</v>
      </c>
      <c r="K701" s="11">
        <v>2168.91</v>
      </c>
      <c r="L701" s="11">
        <v>711.09</v>
      </c>
      <c r="M701" s="11" t="s">
        <v>75</v>
      </c>
      <c r="N701" s="11" t="s">
        <v>76</v>
      </c>
      <c r="O701" s="11" t="s">
        <v>24</v>
      </c>
      <c r="P701" s="11" t="s">
        <v>25</v>
      </c>
      <c r="Q701" s="11" t="s">
        <v>47</v>
      </c>
    </row>
    <row r="702" spans="1:17" x14ac:dyDescent="0.25">
      <c r="A702" s="11" t="s">
        <v>1231</v>
      </c>
      <c r="B702" s="12">
        <v>45681</v>
      </c>
      <c r="C702" s="11" t="s">
        <v>1165</v>
      </c>
      <c r="D702" s="11" t="s">
        <v>1166</v>
      </c>
      <c r="E702" s="11" t="s">
        <v>107</v>
      </c>
      <c r="F702" s="11" t="s">
        <v>108</v>
      </c>
      <c r="G702" s="11">
        <v>3</v>
      </c>
      <c r="H702" s="11">
        <v>1400</v>
      </c>
      <c r="I702" s="11">
        <v>0.05</v>
      </c>
      <c r="J702" s="11">
        <v>3990</v>
      </c>
      <c r="K702" s="11">
        <v>2791.07</v>
      </c>
      <c r="L702" s="11">
        <v>1198.93</v>
      </c>
      <c r="M702" s="11" t="s">
        <v>80</v>
      </c>
      <c r="N702" s="11" t="s">
        <v>81</v>
      </c>
      <c r="O702" s="11" t="s">
        <v>45</v>
      </c>
      <c r="P702" s="11" t="s">
        <v>95</v>
      </c>
      <c r="Q702" s="11" t="s">
        <v>26</v>
      </c>
    </row>
    <row r="703" spans="1:17" x14ac:dyDescent="0.25">
      <c r="A703" s="11" t="s">
        <v>1232</v>
      </c>
      <c r="B703" s="12">
        <v>45742</v>
      </c>
      <c r="C703" s="11" t="s">
        <v>587</v>
      </c>
      <c r="D703" s="11" t="s">
        <v>588</v>
      </c>
      <c r="E703" s="11" t="s">
        <v>93</v>
      </c>
      <c r="F703" s="11" t="s">
        <v>94</v>
      </c>
      <c r="G703" s="11">
        <v>3</v>
      </c>
      <c r="H703" s="11">
        <v>2800</v>
      </c>
      <c r="I703" s="13">
        <v>0.2</v>
      </c>
      <c r="J703" s="11">
        <v>6720</v>
      </c>
      <c r="K703" s="11">
        <v>7248.41</v>
      </c>
      <c r="L703" s="11">
        <v>-528.41</v>
      </c>
      <c r="M703" s="11" t="s">
        <v>70</v>
      </c>
      <c r="N703" s="11" t="s">
        <v>71</v>
      </c>
      <c r="O703" s="11" t="s">
        <v>32</v>
      </c>
      <c r="P703" s="11" t="s">
        <v>95</v>
      </c>
      <c r="Q703" s="11" t="s">
        <v>26</v>
      </c>
    </row>
    <row r="704" spans="1:17" x14ac:dyDescent="0.25">
      <c r="A704" s="11" t="s">
        <v>1233</v>
      </c>
      <c r="B704" s="12">
        <v>45907</v>
      </c>
      <c r="C704" s="11" t="s">
        <v>429</v>
      </c>
      <c r="D704" s="11" t="s">
        <v>430</v>
      </c>
      <c r="E704" s="11" t="s">
        <v>85</v>
      </c>
      <c r="F704" s="11" t="s">
        <v>86</v>
      </c>
      <c r="G704" s="11">
        <v>2</v>
      </c>
      <c r="H704" s="11">
        <v>450</v>
      </c>
      <c r="I704" s="13">
        <v>0</v>
      </c>
      <c r="J704" s="11">
        <v>900</v>
      </c>
      <c r="K704" s="11">
        <v>586.5</v>
      </c>
      <c r="L704" s="11">
        <v>313.5</v>
      </c>
      <c r="M704" s="11" t="s">
        <v>43</v>
      </c>
      <c r="N704" s="11" t="s">
        <v>44</v>
      </c>
      <c r="O704" s="11" t="s">
        <v>32</v>
      </c>
      <c r="P704" s="11" t="s">
        <v>25</v>
      </c>
      <c r="Q704" s="11" t="s">
        <v>26</v>
      </c>
    </row>
    <row r="705" spans="1:17" x14ac:dyDescent="0.25">
      <c r="A705" s="11" t="s">
        <v>1234</v>
      </c>
      <c r="B705" s="12">
        <v>45763</v>
      </c>
      <c r="C705" s="11" t="s">
        <v>359</v>
      </c>
      <c r="D705" s="11" t="s">
        <v>360</v>
      </c>
      <c r="E705" s="11" t="s">
        <v>30</v>
      </c>
      <c r="F705" s="11" t="s">
        <v>31</v>
      </c>
      <c r="G705" s="11">
        <v>4</v>
      </c>
      <c r="H705" s="11">
        <v>1200</v>
      </c>
      <c r="I705" s="11">
        <v>0.05</v>
      </c>
      <c r="J705" s="11">
        <v>4560</v>
      </c>
      <c r="K705" s="11">
        <v>3419.13</v>
      </c>
      <c r="L705" s="11">
        <v>1140.8699999999999</v>
      </c>
      <c r="M705" s="11" t="s">
        <v>80</v>
      </c>
      <c r="N705" s="11" t="s">
        <v>81</v>
      </c>
      <c r="O705" s="11" t="s">
        <v>45</v>
      </c>
      <c r="P705" s="11" t="s">
        <v>37</v>
      </c>
      <c r="Q705" s="11" t="s">
        <v>26</v>
      </c>
    </row>
    <row r="706" spans="1:17" x14ac:dyDescent="0.25">
      <c r="A706" s="11" t="s">
        <v>1235</v>
      </c>
      <c r="B706" s="12">
        <v>45963</v>
      </c>
      <c r="C706" s="11" t="s">
        <v>160</v>
      </c>
      <c r="D706" s="11" t="s">
        <v>161</v>
      </c>
      <c r="E706" s="11" t="s">
        <v>93</v>
      </c>
      <c r="F706" s="11" t="s">
        <v>94</v>
      </c>
      <c r="G706" s="11">
        <v>5</v>
      </c>
      <c r="H706" s="11">
        <v>2800</v>
      </c>
      <c r="I706" s="13">
        <v>0</v>
      </c>
      <c r="J706" s="11">
        <v>14000</v>
      </c>
      <c r="K706" s="11">
        <v>10709.64</v>
      </c>
      <c r="L706" s="11">
        <v>3290.36</v>
      </c>
      <c r="M706" s="11" t="s">
        <v>80</v>
      </c>
      <c r="N706" s="11" t="s">
        <v>81</v>
      </c>
      <c r="O706" s="11" t="s">
        <v>32</v>
      </c>
      <c r="P706" s="11" t="s">
        <v>46</v>
      </c>
      <c r="Q706" s="11" t="s">
        <v>26</v>
      </c>
    </row>
    <row r="707" spans="1:17" x14ac:dyDescent="0.25">
      <c r="A707" s="11" t="s">
        <v>1236</v>
      </c>
      <c r="B707" s="12">
        <v>45778</v>
      </c>
      <c r="C707" s="11" t="s">
        <v>272</v>
      </c>
      <c r="D707" s="11" t="s">
        <v>273</v>
      </c>
      <c r="E707" s="11" t="s">
        <v>30</v>
      </c>
      <c r="F707" s="11" t="s">
        <v>31</v>
      </c>
      <c r="G707" s="11">
        <v>1</v>
      </c>
      <c r="H707" s="11">
        <v>1200</v>
      </c>
      <c r="I707" s="13">
        <v>0.2</v>
      </c>
      <c r="J707" s="11">
        <v>960</v>
      </c>
      <c r="K707" s="11">
        <v>1052.3</v>
      </c>
      <c r="L707" s="11">
        <v>-92.3</v>
      </c>
      <c r="M707" s="11" t="s">
        <v>22</v>
      </c>
      <c r="N707" s="11" t="s">
        <v>23</v>
      </c>
      <c r="O707" s="11" t="s">
        <v>32</v>
      </c>
      <c r="P707" s="11" t="s">
        <v>25</v>
      </c>
      <c r="Q707" s="11" t="s">
        <v>26</v>
      </c>
    </row>
    <row r="708" spans="1:17" x14ac:dyDescent="0.25">
      <c r="A708" s="11" t="s">
        <v>1237</v>
      </c>
      <c r="B708" s="12">
        <v>45799</v>
      </c>
      <c r="C708" s="11" t="s">
        <v>999</v>
      </c>
      <c r="D708" s="11" t="s">
        <v>1000</v>
      </c>
      <c r="E708" s="11" t="s">
        <v>116</v>
      </c>
      <c r="F708" s="11" t="s">
        <v>94</v>
      </c>
      <c r="G708" s="11">
        <v>4</v>
      </c>
      <c r="H708" s="11">
        <v>1800</v>
      </c>
      <c r="I708" s="13">
        <v>0.05</v>
      </c>
      <c r="J708" s="11">
        <v>6840</v>
      </c>
      <c r="K708" s="11">
        <v>4866.6000000000004</v>
      </c>
      <c r="L708" s="11">
        <v>1973.4</v>
      </c>
      <c r="M708" s="11" t="s">
        <v>99</v>
      </c>
      <c r="N708" s="11" t="s">
        <v>71</v>
      </c>
      <c r="O708" s="11" t="s">
        <v>32</v>
      </c>
      <c r="P708" s="11" t="s">
        <v>37</v>
      </c>
      <c r="Q708" s="11" t="s">
        <v>26</v>
      </c>
    </row>
    <row r="709" spans="1:17" x14ac:dyDescent="0.25">
      <c r="A709" s="11" t="s">
        <v>1238</v>
      </c>
      <c r="B709" s="12">
        <v>45685</v>
      </c>
      <c r="C709" s="11" t="s">
        <v>462</v>
      </c>
      <c r="D709" s="11" t="s">
        <v>463</v>
      </c>
      <c r="E709" s="11" t="s">
        <v>93</v>
      </c>
      <c r="F709" s="11" t="s">
        <v>94</v>
      </c>
      <c r="G709" s="11">
        <v>2</v>
      </c>
      <c r="H709" s="11">
        <v>2800</v>
      </c>
      <c r="I709" s="11">
        <v>0</v>
      </c>
      <c r="J709" s="11">
        <v>5600</v>
      </c>
      <c r="K709" s="11">
        <v>3909.95</v>
      </c>
      <c r="L709" s="11">
        <v>1690.05</v>
      </c>
      <c r="M709" s="11" t="s">
        <v>59</v>
      </c>
      <c r="N709" s="11" t="s">
        <v>59</v>
      </c>
      <c r="O709" s="11" t="s">
        <v>45</v>
      </c>
      <c r="P709" s="11" t="s">
        <v>46</v>
      </c>
      <c r="Q709" s="11" t="s">
        <v>47</v>
      </c>
    </row>
    <row r="710" spans="1:17" x14ac:dyDescent="0.25">
      <c r="A710" s="11" t="s">
        <v>1239</v>
      </c>
      <c r="B710" s="12">
        <v>45684</v>
      </c>
      <c r="C710" s="11" t="s">
        <v>88</v>
      </c>
      <c r="D710" s="11" t="s">
        <v>89</v>
      </c>
      <c r="E710" s="11" t="s">
        <v>131</v>
      </c>
      <c r="F710" s="11" t="s">
        <v>21</v>
      </c>
      <c r="G710" s="11">
        <v>1</v>
      </c>
      <c r="H710" s="11">
        <v>1600</v>
      </c>
      <c r="I710" s="11">
        <v>0</v>
      </c>
      <c r="J710" s="11">
        <v>1600</v>
      </c>
      <c r="K710" s="11">
        <v>1329.06</v>
      </c>
      <c r="L710" s="11">
        <v>270.94</v>
      </c>
      <c r="M710" s="11" t="s">
        <v>80</v>
      </c>
      <c r="N710" s="11" t="s">
        <v>81</v>
      </c>
      <c r="O710" s="11" t="s">
        <v>45</v>
      </c>
      <c r="P710" s="11" t="s">
        <v>25</v>
      </c>
      <c r="Q710" s="11" t="s">
        <v>26</v>
      </c>
    </row>
    <row r="711" spans="1:17" x14ac:dyDescent="0.25">
      <c r="A711" s="11" t="s">
        <v>1240</v>
      </c>
      <c r="B711" s="12">
        <v>45961</v>
      </c>
      <c r="C711" s="11" t="s">
        <v>146</v>
      </c>
      <c r="D711" s="11" t="s">
        <v>147</v>
      </c>
      <c r="E711" s="11" t="s">
        <v>62</v>
      </c>
      <c r="F711" s="11" t="s">
        <v>21</v>
      </c>
      <c r="G711" s="11">
        <v>2</v>
      </c>
      <c r="H711" s="11">
        <v>1800</v>
      </c>
      <c r="I711" s="11">
        <v>0.15</v>
      </c>
      <c r="J711" s="11">
        <v>3060</v>
      </c>
      <c r="K711" s="11">
        <v>2504.5700000000002</v>
      </c>
      <c r="L711" s="11">
        <v>555.42999999999995</v>
      </c>
      <c r="M711" s="11" t="s">
        <v>59</v>
      </c>
      <c r="N711" s="11" t="s">
        <v>59</v>
      </c>
      <c r="O711" s="11" t="s">
        <v>24</v>
      </c>
      <c r="P711" s="11" t="s">
        <v>46</v>
      </c>
      <c r="Q711" s="11" t="s">
        <v>26</v>
      </c>
    </row>
    <row r="712" spans="1:17" x14ac:dyDescent="0.25">
      <c r="A712" s="11" t="s">
        <v>1241</v>
      </c>
      <c r="B712" s="12">
        <v>45708</v>
      </c>
      <c r="C712" s="11" t="s">
        <v>963</v>
      </c>
      <c r="D712" s="11" t="s">
        <v>964</v>
      </c>
      <c r="E712" s="11" t="s">
        <v>20</v>
      </c>
      <c r="F712" s="11" t="s">
        <v>21</v>
      </c>
      <c r="G712" s="11">
        <v>3</v>
      </c>
      <c r="H712" s="11">
        <v>4500</v>
      </c>
      <c r="I712" s="13">
        <v>0.05</v>
      </c>
      <c r="J712" s="11">
        <v>12825</v>
      </c>
      <c r="K712" s="11">
        <v>10056.11</v>
      </c>
      <c r="L712" s="11">
        <v>2768.89</v>
      </c>
      <c r="M712" s="11" t="s">
        <v>22</v>
      </c>
      <c r="N712" s="11" t="s">
        <v>23</v>
      </c>
      <c r="O712" s="11" t="s">
        <v>32</v>
      </c>
      <c r="P712" s="11" t="s">
        <v>37</v>
      </c>
      <c r="Q712" s="11" t="s">
        <v>26</v>
      </c>
    </row>
    <row r="713" spans="1:17" x14ac:dyDescent="0.25">
      <c r="A713" s="11" t="s">
        <v>1242</v>
      </c>
      <c r="B713" s="12">
        <v>45906</v>
      </c>
      <c r="C713" s="11" t="s">
        <v>410</v>
      </c>
      <c r="D713" s="11" t="s">
        <v>411</v>
      </c>
      <c r="E713" s="11" t="s">
        <v>62</v>
      </c>
      <c r="F713" s="11" t="s">
        <v>21</v>
      </c>
      <c r="G713" s="11">
        <v>4</v>
      </c>
      <c r="H713" s="11">
        <v>1800</v>
      </c>
      <c r="I713" s="13">
        <v>0.2</v>
      </c>
      <c r="J713" s="11">
        <v>5760</v>
      </c>
      <c r="K713" s="11">
        <v>5401.79</v>
      </c>
      <c r="L713" s="11">
        <v>358.21</v>
      </c>
      <c r="M713" s="11" t="s">
        <v>99</v>
      </c>
      <c r="N713" s="11" t="s">
        <v>71</v>
      </c>
      <c r="O713" s="11" t="s">
        <v>32</v>
      </c>
      <c r="P713" s="11" t="s">
        <v>1349</v>
      </c>
      <c r="Q713" s="11" t="s">
        <v>26</v>
      </c>
    </row>
    <row r="714" spans="1:17" x14ac:dyDescent="0.25">
      <c r="A714" s="11" t="s">
        <v>1243</v>
      </c>
      <c r="B714" s="12">
        <v>45727</v>
      </c>
      <c r="C714" s="11" t="s">
        <v>568</v>
      </c>
      <c r="D714" s="11" t="s">
        <v>569</v>
      </c>
      <c r="E714" s="11" t="s">
        <v>93</v>
      </c>
      <c r="F714" s="11" t="s">
        <v>94</v>
      </c>
      <c r="G714" s="11">
        <v>4</v>
      </c>
      <c r="H714" s="11">
        <v>2800</v>
      </c>
      <c r="I714" s="11">
        <v>0.1</v>
      </c>
      <c r="J714" s="11">
        <v>10080</v>
      </c>
      <c r="K714" s="11">
        <v>7780.14</v>
      </c>
      <c r="L714" s="11">
        <v>2299.86</v>
      </c>
      <c r="M714" s="11" t="s">
        <v>70</v>
      </c>
      <c r="N714" s="11" t="s">
        <v>71</v>
      </c>
      <c r="O714" s="11" t="s">
        <v>45</v>
      </c>
      <c r="P714" s="11" t="s">
        <v>46</v>
      </c>
      <c r="Q714" s="11" t="s">
        <v>26</v>
      </c>
    </row>
    <row r="715" spans="1:17" x14ac:dyDescent="0.25">
      <c r="A715" s="11" t="s">
        <v>1244</v>
      </c>
      <c r="B715" s="12">
        <v>46012</v>
      </c>
      <c r="C715" s="11" t="s">
        <v>118</v>
      </c>
      <c r="D715" s="11" t="s">
        <v>119</v>
      </c>
      <c r="E715" s="11" t="s">
        <v>66</v>
      </c>
      <c r="F715" s="11" t="s">
        <v>31</v>
      </c>
      <c r="G715" s="11">
        <v>2</v>
      </c>
      <c r="H715" s="11">
        <v>3500</v>
      </c>
      <c r="I715" s="11">
        <v>0</v>
      </c>
      <c r="J715" s="11">
        <v>7000</v>
      </c>
      <c r="K715" s="11">
        <v>4769.7700000000004</v>
      </c>
      <c r="L715" s="11">
        <v>2230.23</v>
      </c>
      <c r="M715" s="11" t="s">
        <v>99</v>
      </c>
      <c r="N715" s="11" t="s">
        <v>71</v>
      </c>
      <c r="O715" s="11" t="s">
        <v>45</v>
      </c>
      <c r="P715" s="11" t="s">
        <v>37</v>
      </c>
      <c r="Q715" s="11" t="s">
        <v>26</v>
      </c>
    </row>
    <row r="716" spans="1:17" x14ac:dyDescent="0.25">
      <c r="A716" s="11" t="s">
        <v>1245</v>
      </c>
      <c r="B716" s="12">
        <v>45809</v>
      </c>
      <c r="C716" s="11" t="s">
        <v>78</v>
      </c>
      <c r="D716" s="11" t="s">
        <v>79</v>
      </c>
      <c r="E716" s="11" t="s">
        <v>93</v>
      </c>
      <c r="F716" s="11" t="s">
        <v>94</v>
      </c>
      <c r="G716" s="11">
        <v>3</v>
      </c>
      <c r="H716" s="11">
        <v>2800</v>
      </c>
      <c r="I716" s="11">
        <v>0.05</v>
      </c>
      <c r="J716" s="11">
        <v>7980</v>
      </c>
      <c r="K716" s="11">
        <v>6995.1</v>
      </c>
      <c r="L716" s="11">
        <v>984.9</v>
      </c>
      <c r="M716" s="11" t="s">
        <v>80</v>
      </c>
      <c r="N716" s="11" t="s">
        <v>81</v>
      </c>
      <c r="O716" s="11" t="s">
        <v>24</v>
      </c>
      <c r="P716" s="11" t="s">
        <v>95</v>
      </c>
      <c r="Q716" s="11" t="s">
        <v>47</v>
      </c>
    </row>
    <row r="717" spans="1:17" x14ac:dyDescent="0.25">
      <c r="A717" s="11" t="s">
        <v>1246</v>
      </c>
      <c r="B717" s="12">
        <v>45925</v>
      </c>
      <c r="C717" s="11" t="s">
        <v>869</v>
      </c>
      <c r="D717" s="11" t="s">
        <v>870</v>
      </c>
      <c r="E717" s="11" t="s">
        <v>116</v>
      </c>
      <c r="F717" s="11" t="s">
        <v>94</v>
      </c>
      <c r="G717" s="11">
        <v>1</v>
      </c>
      <c r="H717" s="11">
        <v>1800</v>
      </c>
      <c r="I717" s="11">
        <v>0.15</v>
      </c>
      <c r="J717" s="11">
        <v>1530</v>
      </c>
      <c r="K717" s="11">
        <v>1582.21</v>
      </c>
      <c r="L717" s="11">
        <v>-52.21</v>
      </c>
      <c r="M717" s="11" t="s">
        <v>70</v>
      </c>
      <c r="N717" s="11" t="s">
        <v>71</v>
      </c>
      <c r="O717" s="11" t="s">
        <v>24</v>
      </c>
      <c r="P717" s="11" t="s">
        <v>37</v>
      </c>
      <c r="Q717" s="11" t="s">
        <v>26</v>
      </c>
    </row>
    <row r="718" spans="1:17" x14ac:dyDescent="0.25">
      <c r="A718" s="11" t="s">
        <v>1247</v>
      </c>
      <c r="B718" s="12">
        <v>45784</v>
      </c>
      <c r="C718" s="11" t="s">
        <v>1060</v>
      </c>
      <c r="D718" s="11" t="s">
        <v>1061</v>
      </c>
      <c r="E718" s="11" t="s">
        <v>41</v>
      </c>
      <c r="F718" s="11" t="s">
        <v>42</v>
      </c>
      <c r="G718" s="11">
        <v>1</v>
      </c>
      <c r="H718" s="11">
        <v>7500</v>
      </c>
      <c r="I718" s="13">
        <v>0.15</v>
      </c>
      <c r="J718" s="11">
        <v>6375</v>
      </c>
      <c r="K718" s="11">
        <v>5624.08</v>
      </c>
      <c r="L718" s="11">
        <v>750.92</v>
      </c>
      <c r="M718" s="11" t="s">
        <v>22</v>
      </c>
      <c r="N718" s="11" t="s">
        <v>23</v>
      </c>
      <c r="O718" s="11" t="s">
        <v>32</v>
      </c>
      <c r="P718" s="11" t="s">
        <v>25</v>
      </c>
      <c r="Q718" s="11" t="s">
        <v>26</v>
      </c>
    </row>
    <row r="719" spans="1:17" x14ac:dyDescent="0.25">
      <c r="A719" s="11" t="s">
        <v>1248</v>
      </c>
      <c r="B719" s="12">
        <v>45678</v>
      </c>
      <c r="C719" s="11" t="s">
        <v>733</v>
      </c>
      <c r="D719" s="11" t="s">
        <v>734</v>
      </c>
      <c r="E719" s="11" t="s">
        <v>158</v>
      </c>
      <c r="F719" s="11" t="s">
        <v>21</v>
      </c>
      <c r="G719" s="11">
        <v>4</v>
      </c>
      <c r="H719" s="11">
        <v>55000</v>
      </c>
      <c r="I719" s="13">
        <v>0</v>
      </c>
      <c r="J719" s="11">
        <v>220000</v>
      </c>
      <c r="K719" s="11">
        <v>181891.48</v>
      </c>
      <c r="L719" s="11">
        <v>38108.519999999997</v>
      </c>
      <c r="M719" s="11" t="s">
        <v>70</v>
      </c>
      <c r="N719" s="11" t="s">
        <v>71</v>
      </c>
      <c r="O719" s="11" t="s">
        <v>32</v>
      </c>
      <c r="P719" s="11" t="s">
        <v>37</v>
      </c>
      <c r="Q719" s="11" t="s">
        <v>47</v>
      </c>
    </row>
    <row r="720" spans="1:17" x14ac:dyDescent="0.25">
      <c r="A720" s="11" t="s">
        <v>1249</v>
      </c>
      <c r="B720" s="12">
        <v>45889</v>
      </c>
      <c r="C720" s="11" t="s">
        <v>494</v>
      </c>
      <c r="D720" s="11" t="s">
        <v>495</v>
      </c>
      <c r="E720" s="11" t="s">
        <v>85</v>
      </c>
      <c r="F720" s="11" t="s">
        <v>86</v>
      </c>
      <c r="G720" s="11">
        <v>4</v>
      </c>
      <c r="H720" s="11">
        <v>450</v>
      </c>
      <c r="I720" s="13">
        <v>0</v>
      </c>
      <c r="J720" s="11">
        <v>1800</v>
      </c>
      <c r="K720" s="11">
        <v>1204.4000000000001</v>
      </c>
      <c r="L720" s="11">
        <v>595.6</v>
      </c>
      <c r="M720" s="11" t="s">
        <v>70</v>
      </c>
      <c r="N720" s="11" t="s">
        <v>71</v>
      </c>
      <c r="O720" s="11" t="s">
        <v>32</v>
      </c>
      <c r="P720" s="11" t="s">
        <v>37</v>
      </c>
      <c r="Q720" s="11" t="s">
        <v>26</v>
      </c>
    </row>
    <row r="721" spans="1:17" x14ac:dyDescent="0.25">
      <c r="A721" s="11" t="s">
        <v>1250</v>
      </c>
      <c r="B721" s="12">
        <v>45780</v>
      </c>
      <c r="C721" s="11" t="s">
        <v>1109</v>
      </c>
      <c r="D721" s="11" t="s">
        <v>1110</v>
      </c>
      <c r="E721" s="11" t="s">
        <v>107</v>
      </c>
      <c r="F721" s="11" t="s">
        <v>108</v>
      </c>
      <c r="G721" s="11">
        <v>3</v>
      </c>
      <c r="H721" s="11">
        <v>1400</v>
      </c>
      <c r="I721" s="11">
        <v>0.1</v>
      </c>
      <c r="J721" s="11">
        <v>3780</v>
      </c>
      <c r="K721" s="11">
        <v>3193.47</v>
      </c>
      <c r="L721" s="11">
        <v>586.53</v>
      </c>
      <c r="M721" s="11" t="s">
        <v>43</v>
      </c>
      <c r="N721" s="11" t="s">
        <v>44</v>
      </c>
      <c r="O721" s="11" t="s">
        <v>45</v>
      </c>
      <c r="P721" s="11" t="s">
        <v>95</v>
      </c>
      <c r="Q721" s="11" t="s">
        <v>60</v>
      </c>
    </row>
    <row r="722" spans="1:17" x14ac:dyDescent="0.25">
      <c r="A722" s="11" t="s">
        <v>1251</v>
      </c>
      <c r="B722" s="12">
        <v>45670</v>
      </c>
      <c r="C722" s="11" t="s">
        <v>454</v>
      </c>
      <c r="D722" s="11" t="s">
        <v>455</v>
      </c>
      <c r="E722" s="11" t="s">
        <v>131</v>
      </c>
      <c r="F722" s="11" t="s">
        <v>21</v>
      </c>
      <c r="G722" s="11">
        <v>5</v>
      </c>
      <c r="H722" s="11">
        <v>1600</v>
      </c>
      <c r="I722" s="11">
        <v>0.2</v>
      </c>
      <c r="J722" s="11">
        <v>6400</v>
      </c>
      <c r="K722" s="11">
        <v>6620.18</v>
      </c>
      <c r="L722" s="11">
        <v>-220.18</v>
      </c>
      <c r="M722" s="11" t="s">
        <v>70</v>
      </c>
      <c r="N722" s="11" t="s">
        <v>71</v>
      </c>
      <c r="O722" s="11" t="s">
        <v>24</v>
      </c>
      <c r="P722" s="11" t="s">
        <v>37</v>
      </c>
      <c r="Q722" s="11" t="s">
        <v>26</v>
      </c>
    </row>
    <row r="723" spans="1:17" x14ac:dyDescent="0.25">
      <c r="A723" s="11" t="s">
        <v>1252</v>
      </c>
      <c r="B723" s="12">
        <v>45979</v>
      </c>
      <c r="C723" s="11" t="s">
        <v>188</v>
      </c>
      <c r="D723" s="11" t="s">
        <v>189</v>
      </c>
      <c r="E723" s="11" t="s">
        <v>54</v>
      </c>
      <c r="F723" s="11" t="s">
        <v>31</v>
      </c>
      <c r="G723" s="11">
        <v>4</v>
      </c>
      <c r="H723" s="11">
        <v>2800</v>
      </c>
      <c r="I723" s="11">
        <v>0</v>
      </c>
      <c r="J723" s="11">
        <v>11200</v>
      </c>
      <c r="K723" s="11">
        <v>9581.49</v>
      </c>
      <c r="L723" s="11">
        <v>1618.51</v>
      </c>
      <c r="M723" s="11" t="s">
        <v>43</v>
      </c>
      <c r="N723" s="11" t="s">
        <v>44</v>
      </c>
      <c r="O723" s="11" t="s">
        <v>45</v>
      </c>
      <c r="P723" s="11" t="s">
        <v>25</v>
      </c>
      <c r="Q723" s="11" t="s">
        <v>26</v>
      </c>
    </row>
    <row r="724" spans="1:17" x14ac:dyDescent="0.25">
      <c r="A724" s="11" t="s">
        <v>1253</v>
      </c>
      <c r="B724" s="12">
        <v>46015</v>
      </c>
      <c r="C724" s="11" t="s">
        <v>1254</v>
      </c>
      <c r="D724" s="11" t="s">
        <v>1255</v>
      </c>
      <c r="E724" s="11" t="s">
        <v>103</v>
      </c>
      <c r="F724" s="11" t="s">
        <v>42</v>
      </c>
      <c r="G724" s="11">
        <v>4</v>
      </c>
      <c r="H724" s="11">
        <v>6000</v>
      </c>
      <c r="I724" s="11">
        <v>0.1</v>
      </c>
      <c r="J724" s="11">
        <v>21600</v>
      </c>
      <c r="K724" s="11">
        <v>19379.349999999999</v>
      </c>
      <c r="L724" s="11">
        <v>2220.65</v>
      </c>
      <c r="M724" s="11" t="s">
        <v>22</v>
      </c>
      <c r="N724" s="11" t="s">
        <v>23</v>
      </c>
      <c r="O724" s="11" t="s">
        <v>24</v>
      </c>
      <c r="P724" s="11" t="s">
        <v>46</v>
      </c>
      <c r="Q724" s="11" t="s">
        <v>60</v>
      </c>
    </row>
    <row r="725" spans="1:17" x14ac:dyDescent="0.25">
      <c r="A725" s="11" t="s">
        <v>1256</v>
      </c>
      <c r="B725" s="12">
        <v>45684</v>
      </c>
      <c r="C725" s="11" t="s">
        <v>188</v>
      </c>
      <c r="D725" s="11" t="s">
        <v>189</v>
      </c>
      <c r="E725" s="11" t="s">
        <v>141</v>
      </c>
      <c r="F725" s="11" t="s">
        <v>21</v>
      </c>
      <c r="G725" s="11">
        <v>5</v>
      </c>
      <c r="H725" s="11">
        <v>22000</v>
      </c>
      <c r="I725" s="11">
        <v>0.1</v>
      </c>
      <c r="J725" s="11">
        <v>99000</v>
      </c>
      <c r="K725" s="11">
        <v>80749.45</v>
      </c>
      <c r="L725" s="11">
        <v>18250.55</v>
      </c>
      <c r="M725" s="11" t="s">
        <v>43</v>
      </c>
      <c r="N725" s="11" t="s">
        <v>44</v>
      </c>
      <c r="O725" s="11" t="s">
        <v>24</v>
      </c>
      <c r="P725" s="11" t="s">
        <v>55</v>
      </c>
      <c r="Q725" s="11" t="s">
        <v>26</v>
      </c>
    </row>
    <row r="726" spans="1:17" x14ac:dyDescent="0.25">
      <c r="A726" s="11" t="s">
        <v>1257</v>
      </c>
      <c r="B726" s="12">
        <v>46018</v>
      </c>
      <c r="C726" s="11" t="s">
        <v>166</v>
      </c>
      <c r="D726" s="11" t="s">
        <v>167</v>
      </c>
      <c r="E726" s="11" t="s">
        <v>54</v>
      </c>
      <c r="F726" s="11" t="s">
        <v>31</v>
      </c>
      <c r="G726" s="11">
        <v>2</v>
      </c>
      <c r="H726" s="11">
        <v>2800</v>
      </c>
      <c r="I726" s="13">
        <v>0.2</v>
      </c>
      <c r="J726" s="11">
        <v>4480</v>
      </c>
      <c r="K726" s="11">
        <v>4553.63</v>
      </c>
      <c r="L726" s="11">
        <v>-73.63</v>
      </c>
      <c r="M726" s="11" t="s">
        <v>43</v>
      </c>
      <c r="N726" s="11" t="s">
        <v>44</v>
      </c>
      <c r="O726" s="11" t="s">
        <v>32</v>
      </c>
      <c r="P726" s="11" t="s">
        <v>95</v>
      </c>
      <c r="Q726" s="11" t="s">
        <v>26</v>
      </c>
    </row>
    <row r="727" spans="1:17" x14ac:dyDescent="0.25">
      <c r="A727" s="11" t="s">
        <v>1258</v>
      </c>
      <c r="B727" s="12">
        <v>45990</v>
      </c>
      <c r="C727" s="11" t="s">
        <v>963</v>
      </c>
      <c r="D727" s="11" t="s">
        <v>964</v>
      </c>
      <c r="E727" s="11" t="s">
        <v>116</v>
      </c>
      <c r="F727" s="11" t="s">
        <v>94</v>
      </c>
      <c r="G727" s="11">
        <v>5</v>
      </c>
      <c r="H727" s="11">
        <v>1800</v>
      </c>
      <c r="I727" s="11">
        <v>0</v>
      </c>
      <c r="J727" s="11">
        <v>9000</v>
      </c>
      <c r="K727" s="11">
        <v>7794.04</v>
      </c>
      <c r="L727" s="11">
        <v>1205.96</v>
      </c>
      <c r="M727" s="11" t="s">
        <v>70</v>
      </c>
      <c r="N727" s="11" t="s">
        <v>71</v>
      </c>
      <c r="O727" s="11" t="s">
        <v>24</v>
      </c>
      <c r="P727" s="11" t="s">
        <v>95</v>
      </c>
      <c r="Q727" s="11" t="s">
        <v>60</v>
      </c>
    </row>
    <row r="728" spans="1:17" x14ac:dyDescent="0.25">
      <c r="A728" s="11" t="s">
        <v>1259</v>
      </c>
      <c r="B728" s="12">
        <v>45794</v>
      </c>
      <c r="C728" s="11" t="s">
        <v>395</v>
      </c>
      <c r="D728" s="11" t="s">
        <v>396</v>
      </c>
      <c r="E728" s="11" t="s">
        <v>116</v>
      </c>
      <c r="F728" s="11" t="s">
        <v>94</v>
      </c>
      <c r="G728" s="11">
        <v>3</v>
      </c>
      <c r="H728" s="11">
        <v>1800</v>
      </c>
      <c r="I728" s="11">
        <v>0.1</v>
      </c>
      <c r="J728" s="11">
        <v>4860</v>
      </c>
      <c r="K728" s="11">
        <v>3577.64</v>
      </c>
      <c r="L728" s="11">
        <v>1282.3599999999999</v>
      </c>
      <c r="M728" s="11" t="s">
        <v>75</v>
      </c>
      <c r="N728" s="11" t="s">
        <v>76</v>
      </c>
      <c r="O728" s="11" t="s">
        <v>45</v>
      </c>
      <c r="P728" s="11" t="s">
        <v>46</v>
      </c>
      <c r="Q728" s="11" t="s">
        <v>26</v>
      </c>
    </row>
    <row r="729" spans="1:17" x14ac:dyDescent="0.25">
      <c r="A729" s="11" t="s">
        <v>1260</v>
      </c>
      <c r="B729" s="12">
        <v>45720</v>
      </c>
      <c r="C729" s="11" t="s">
        <v>257</v>
      </c>
      <c r="D729" s="11" t="s">
        <v>258</v>
      </c>
      <c r="E729" s="11" t="s">
        <v>123</v>
      </c>
      <c r="F729" s="11" t="s">
        <v>21</v>
      </c>
      <c r="G729" s="11">
        <v>5</v>
      </c>
      <c r="H729" s="11">
        <v>2200</v>
      </c>
      <c r="I729" s="11">
        <v>0.2</v>
      </c>
      <c r="J729" s="11">
        <v>8800</v>
      </c>
      <c r="K729" s="11">
        <v>8495.7199999999993</v>
      </c>
      <c r="L729" s="11">
        <v>304.27999999999997</v>
      </c>
      <c r="M729" s="11" t="s">
        <v>70</v>
      </c>
      <c r="N729" s="11" t="s">
        <v>71</v>
      </c>
      <c r="O729" s="11" t="s">
        <v>24</v>
      </c>
      <c r="P729" s="11" t="s">
        <v>46</v>
      </c>
      <c r="Q729" s="11" t="s">
        <v>26</v>
      </c>
    </row>
    <row r="730" spans="1:17" x14ac:dyDescent="0.25">
      <c r="A730" s="11" t="s">
        <v>1261</v>
      </c>
      <c r="B730" s="12">
        <v>45892</v>
      </c>
      <c r="C730" s="11" t="s">
        <v>833</v>
      </c>
      <c r="D730" s="11" t="s">
        <v>834</v>
      </c>
      <c r="E730" s="11" t="s">
        <v>54</v>
      </c>
      <c r="F730" s="11" t="s">
        <v>31</v>
      </c>
      <c r="G730" s="11">
        <v>1</v>
      </c>
      <c r="H730" s="11">
        <v>2800</v>
      </c>
      <c r="I730" s="13">
        <v>0.05</v>
      </c>
      <c r="J730" s="11">
        <v>2660</v>
      </c>
      <c r="K730" s="11">
        <v>2071.6</v>
      </c>
      <c r="L730" s="11">
        <v>588.4</v>
      </c>
      <c r="M730" s="11" t="s">
        <v>43</v>
      </c>
      <c r="N730" s="11" t="s">
        <v>44</v>
      </c>
      <c r="O730" s="11" t="s">
        <v>32</v>
      </c>
      <c r="P730" s="11" t="s">
        <v>46</v>
      </c>
      <c r="Q730" s="11" t="s">
        <v>26</v>
      </c>
    </row>
    <row r="731" spans="1:17" x14ac:dyDescent="0.25">
      <c r="A731" s="11" t="s">
        <v>1262</v>
      </c>
      <c r="B731" s="12">
        <v>45715</v>
      </c>
      <c r="C731" s="11" t="s">
        <v>353</v>
      </c>
      <c r="D731" s="11" t="s">
        <v>354</v>
      </c>
      <c r="E731" s="11" t="s">
        <v>20</v>
      </c>
      <c r="F731" s="11" t="s">
        <v>21</v>
      </c>
      <c r="G731" s="11">
        <v>2</v>
      </c>
      <c r="H731" s="11">
        <v>4500</v>
      </c>
      <c r="I731" s="13">
        <v>0.1</v>
      </c>
      <c r="J731" s="11">
        <v>8100</v>
      </c>
      <c r="K731" s="11">
        <v>6161.53</v>
      </c>
      <c r="L731" s="11">
        <v>1938.47</v>
      </c>
      <c r="M731" s="11" t="s">
        <v>80</v>
      </c>
      <c r="N731" s="11" t="s">
        <v>81</v>
      </c>
      <c r="O731" s="11" t="s">
        <v>32</v>
      </c>
      <c r="P731" s="11" t="s">
        <v>25</v>
      </c>
      <c r="Q731" s="11" t="s">
        <v>60</v>
      </c>
    </row>
    <row r="732" spans="1:17" x14ac:dyDescent="0.25">
      <c r="A732" s="11" t="s">
        <v>1263</v>
      </c>
      <c r="B732" s="12">
        <v>46007</v>
      </c>
      <c r="C732" s="11" t="s">
        <v>205</v>
      </c>
      <c r="D732" s="11" t="s">
        <v>206</v>
      </c>
      <c r="E732" s="11" t="s">
        <v>158</v>
      </c>
      <c r="F732" s="11" t="s">
        <v>21</v>
      </c>
      <c r="G732" s="11">
        <v>3</v>
      </c>
      <c r="H732" s="11">
        <v>55000</v>
      </c>
      <c r="I732" s="11">
        <v>0.15</v>
      </c>
      <c r="J732" s="11">
        <v>140250</v>
      </c>
      <c r="K732" s="11">
        <v>120407.27</v>
      </c>
      <c r="L732" s="11">
        <v>19842.73</v>
      </c>
      <c r="M732" s="11" t="s">
        <v>80</v>
      </c>
      <c r="N732" s="11" t="s">
        <v>81</v>
      </c>
      <c r="O732" s="11" t="s">
        <v>45</v>
      </c>
      <c r="P732" s="11" t="s">
        <v>55</v>
      </c>
      <c r="Q732" s="11" t="s">
        <v>26</v>
      </c>
    </row>
    <row r="733" spans="1:17" x14ac:dyDescent="0.25">
      <c r="A733" s="11" t="s">
        <v>1264</v>
      </c>
      <c r="B733" s="12">
        <v>45776</v>
      </c>
      <c r="C733" s="11" t="s">
        <v>1036</v>
      </c>
      <c r="D733" s="11" t="s">
        <v>1037</v>
      </c>
      <c r="E733" s="11" t="s">
        <v>112</v>
      </c>
      <c r="F733" s="11" t="s">
        <v>94</v>
      </c>
      <c r="G733" s="11">
        <v>1</v>
      </c>
      <c r="H733" s="11">
        <v>800</v>
      </c>
      <c r="I733" s="11">
        <v>0</v>
      </c>
      <c r="J733" s="11">
        <v>800</v>
      </c>
      <c r="K733" s="11">
        <v>626.48</v>
      </c>
      <c r="L733" s="11">
        <v>173.52</v>
      </c>
      <c r="M733" s="11" t="s">
        <v>59</v>
      </c>
      <c r="N733" s="11" t="s">
        <v>59</v>
      </c>
      <c r="O733" s="11" t="s">
        <v>24</v>
      </c>
      <c r="P733" s="11" t="s">
        <v>46</v>
      </c>
      <c r="Q733" s="11" t="s">
        <v>26</v>
      </c>
    </row>
    <row r="734" spans="1:17" x14ac:dyDescent="0.25">
      <c r="A734" s="11" t="s">
        <v>1265</v>
      </c>
      <c r="B734" s="12">
        <v>45948</v>
      </c>
      <c r="C734" s="11" t="s">
        <v>662</v>
      </c>
      <c r="D734" s="11" t="s">
        <v>663</v>
      </c>
      <c r="E734" s="11" t="s">
        <v>131</v>
      </c>
      <c r="F734" s="11" t="s">
        <v>21</v>
      </c>
      <c r="G734" s="11">
        <v>4</v>
      </c>
      <c r="H734" s="11">
        <v>1600</v>
      </c>
      <c r="I734" s="13">
        <v>0.1</v>
      </c>
      <c r="J734" s="11">
        <v>5760</v>
      </c>
      <c r="K734" s="11">
        <v>5321.92</v>
      </c>
      <c r="L734" s="11">
        <v>438.08</v>
      </c>
      <c r="M734" s="11" t="s">
        <v>80</v>
      </c>
      <c r="N734" s="11" t="s">
        <v>81</v>
      </c>
      <c r="O734" s="11" t="s">
        <v>32</v>
      </c>
      <c r="P734" s="11" t="s">
        <v>46</v>
      </c>
      <c r="Q734" s="11" t="s">
        <v>26</v>
      </c>
    </row>
    <row r="735" spans="1:17" x14ac:dyDescent="0.25">
      <c r="A735" s="11" t="s">
        <v>1266</v>
      </c>
      <c r="B735" s="12">
        <v>45682</v>
      </c>
      <c r="C735" s="11" t="s">
        <v>172</v>
      </c>
      <c r="D735" s="11" t="s">
        <v>173</v>
      </c>
      <c r="E735" s="11" t="s">
        <v>123</v>
      </c>
      <c r="F735" s="11" t="s">
        <v>21</v>
      </c>
      <c r="G735" s="11">
        <v>3</v>
      </c>
      <c r="H735" s="11">
        <v>2200</v>
      </c>
      <c r="I735" s="13">
        <v>0.1</v>
      </c>
      <c r="J735" s="11">
        <v>5940</v>
      </c>
      <c r="K735" s="11">
        <v>4721.6899999999996</v>
      </c>
      <c r="L735" s="11">
        <v>1218.31</v>
      </c>
      <c r="M735" s="11" t="s">
        <v>80</v>
      </c>
      <c r="N735" s="11" t="s">
        <v>81</v>
      </c>
      <c r="O735" s="11" t="s">
        <v>32</v>
      </c>
      <c r="P735" s="11" t="s">
        <v>25</v>
      </c>
      <c r="Q735" s="11" t="s">
        <v>26</v>
      </c>
    </row>
    <row r="736" spans="1:17" x14ac:dyDescent="0.25">
      <c r="A736" s="11" t="s">
        <v>1267</v>
      </c>
      <c r="B736" s="12">
        <v>46020</v>
      </c>
      <c r="C736" s="11" t="s">
        <v>57</v>
      </c>
      <c r="D736" s="11" t="s">
        <v>58</v>
      </c>
      <c r="E736" s="11" t="s">
        <v>103</v>
      </c>
      <c r="F736" s="11" t="s">
        <v>42</v>
      </c>
      <c r="G736" s="11">
        <v>2</v>
      </c>
      <c r="H736" s="11">
        <v>6000</v>
      </c>
      <c r="I736" s="13">
        <v>0.05</v>
      </c>
      <c r="J736" s="11">
        <v>11400</v>
      </c>
      <c r="K736" s="11">
        <v>8456.6200000000008</v>
      </c>
      <c r="L736" s="11">
        <v>2943.38</v>
      </c>
      <c r="M736" s="11" t="s">
        <v>80</v>
      </c>
      <c r="N736" s="11" t="s">
        <v>81</v>
      </c>
      <c r="O736" s="11" t="s">
        <v>32</v>
      </c>
      <c r="P736" s="11" t="s">
        <v>46</v>
      </c>
      <c r="Q736" s="11" t="s">
        <v>47</v>
      </c>
    </row>
    <row r="737" spans="1:17" x14ac:dyDescent="0.25">
      <c r="A737" s="11" t="s">
        <v>1268</v>
      </c>
      <c r="B737" s="12">
        <v>45847</v>
      </c>
      <c r="C737" s="11" t="s">
        <v>702</v>
      </c>
      <c r="D737" s="11" t="s">
        <v>703</v>
      </c>
      <c r="E737" s="11" t="s">
        <v>107</v>
      </c>
      <c r="F737" s="11" t="s">
        <v>108</v>
      </c>
      <c r="G737" s="11">
        <v>4</v>
      </c>
      <c r="H737" s="11">
        <v>1400</v>
      </c>
      <c r="I737" s="13">
        <v>0.1</v>
      </c>
      <c r="J737" s="11">
        <v>5040</v>
      </c>
      <c r="K737" s="11">
        <v>4364.4799999999996</v>
      </c>
      <c r="L737" s="11">
        <v>675.52</v>
      </c>
      <c r="M737" s="11" t="s">
        <v>80</v>
      </c>
      <c r="N737" s="11" t="s">
        <v>81</v>
      </c>
      <c r="O737" s="11" t="s">
        <v>32</v>
      </c>
      <c r="P737" s="11" t="s">
        <v>46</v>
      </c>
      <c r="Q737" s="11" t="s">
        <v>26</v>
      </c>
    </row>
    <row r="738" spans="1:17" x14ac:dyDescent="0.25">
      <c r="A738" s="11" t="s">
        <v>1269</v>
      </c>
      <c r="B738" s="12">
        <v>45934</v>
      </c>
      <c r="C738" s="11" t="s">
        <v>1080</v>
      </c>
      <c r="D738" s="11" t="s">
        <v>1081</v>
      </c>
      <c r="E738" s="11" t="s">
        <v>107</v>
      </c>
      <c r="F738" s="11" t="s">
        <v>108</v>
      </c>
      <c r="G738" s="11">
        <v>3</v>
      </c>
      <c r="H738" s="11">
        <v>1400</v>
      </c>
      <c r="I738" s="13">
        <v>0.15</v>
      </c>
      <c r="J738" s="11">
        <v>3570</v>
      </c>
      <c r="K738" s="11">
        <v>3021.31</v>
      </c>
      <c r="L738" s="11">
        <v>548.69000000000005</v>
      </c>
      <c r="M738" s="11" t="s">
        <v>80</v>
      </c>
      <c r="N738" s="11" t="s">
        <v>81</v>
      </c>
      <c r="O738" s="11" t="s">
        <v>32</v>
      </c>
      <c r="P738" s="11" t="s">
        <v>37</v>
      </c>
      <c r="Q738" s="11" t="s">
        <v>26</v>
      </c>
    </row>
    <row r="739" spans="1:17" x14ac:dyDescent="0.25">
      <c r="A739" s="11" t="s">
        <v>1270</v>
      </c>
      <c r="B739" s="12">
        <v>45737</v>
      </c>
      <c r="C739" s="11" t="s">
        <v>83</v>
      </c>
      <c r="D739" s="11" t="s">
        <v>84</v>
      </c>
      <c r="E739" s="11" t="s">
        <v>107</v>
      </c>
      <c r="F739" s="11" t="s">
        <v>108</v>
      </c>
      <c r="G739" s="11">
        <v>4</v>
      </c>
      <c r="H739" s="11">
        <v>1400</v>
      </c>
      <c r="I739" s="11">
        <v>0.1</v>
      </c>
      <c r="J739" s="11">
        <v>5040</v>
      </c>
      <c r="K739" s="11">
        <v>4591.18</v>
      </c>
      <c r="L739" s="11">
        <v>448.82</v>
      </c>
      <c r="M739" s="11" t="s">
        <v>99</v>
      </c>
      <c r="N739" s="11" t="s">
        <v>71</v>
      </c>
      <c r="O739" s="11" t="s">
        <v>24</v>
      </c>
      <c r="P739" s="11" t="s">
        <v>46</v>
      </c>
      <c r="Q739" s="11" t="s">
        <v>60</v>
      </c>
    </row>
    <row r="740" spans="1:17" x14ac:dyDescent="0.25">
      <c r="A740" s="11" t="s">
        <v>1271</v>
      </c>
      <c r="B740" s="12">
        <v>45951</v>
      </c>
      <c r="C740" s="11" t="s">
        <v>502</v>
      </c>
      <c r="D740" s="11" t="s">
        <v>503</v>
      </c>
      <c r="E740" s="11" t="s">
        <v>103</v>
      </c>
      <c r="F740" s="11" t="s">
        <v>42</v>
      </c>
      <c r="G740" s="11">
        <v>4</v>
      </c>
      <c r="H740" s="11">
        <v>6000</v>
      </c>
      <c r="I740" s="11">
        <v>0.1</v>
      </c>
      <c r="J740" s="11">
        <v>21600</v>
      </c>
      <c r="K740" s="11">
        <v>18720.080000000002</v>
      </c>
      <c r="L740" s="11">
        <v>2879.92</v>
      </c>
      <c r="M740" s="11" t="s">
        <v>80</v>
      </c>
      <c r="N740" s="11" t="s">
        <v>81</v>
      </c>
      <c r="O740" s="11" t="s">
        <v>45</v>
      </c>
      <c r="P740" s="11" t="s">
        <v>46</v>
      </c>
      <c r="Q740" s="11" t="s">
        <v>60</v>
      </c>
    </row>
    <row r="741" spans="1:17" x14ac:dyDescent="0.25">
      <c r="A741" s="11" t="s">
        <v>1272</v>
      </c>
      <c r="B741" s="12">
        <v>45729</v>
      </c>
      <c r="C741" s="11" t="s">
        <v>291</v>
      </c>
      <c r="D741" s="11" t="s">
        <v>292</v>
      </c>
      <c r="E741" s="11" t="s">
        <v>20</v>
      </c>
      <c r="F741" s="11" t="s">
        <v>21</v>
      </c>
      <c r="G741" s="11">
        <v>4</v>
      </c>
      <c r="H741" s="11">
        <v>4500</v>
      </c>
      <c r="I741" s="11">
        <v>0</v>
      </c>
      <c r="J741" s="11">
        <v>18000</v>
      </c>
      <c r="K741" s="11">
        <v>11802.65</v>
      </c>
      <c r="L741" s="11">
        <v>6197.35</v>
      </c>
      <c r="M741" s="11" t="s">
        <v>43</v>
      </c>
      <c r="N741" s="11" t="s">
        <v>44</v>
      </c>
      <c r="O741" s="11" t="s">
        <v>24</v>
      </c>
      <c r="P741" s="11" t="s">
        <v>95</v>
      </c>
      <c r="Q741" s="11" t="s">
        <v>26</v>
      </c>
    </row>
    <row r="742" spans="1:17" x14ac:dyDescent="0.25">
      <c r="A742" s="11" t="s">
        <v>1273</v>
      </c>
      <c r="B742" s="12">
        <v>45686</v>
      </c>
      <c r="C742" s="11" t="s">
        <v>379</v>
      </c>
      <c r="D742" s="11" t="s">
        <v>380</v>
      </c>
      <c r="E742" s="11" t="s">
        <v>54</v>
      </c>
      <c r="F742" s="11" t="s">
        <v>31</v>
      </c>
      <c r="G742" s="11">
        <v>1</v>
      </c>
      <c r="H742" s="11">
        <v>2800</v>
      </c>
      <c r="I742" s="11">
        <v>0.1</v>
      </c>
      <c r="J742" s="11">
        <v>2520</v>
      </c>
      <c r="K742" s="11">
        <v>2159.02</v>
      </c>
      <c r="L742" s="11">
        <v>360.98</v>
      </c>
      <c r="M742" s="11" t="s">
        <v>22</v>
      </c>
      <c r="N742" s="11" t="s">
        <v>23</v>
      </c>
      <c r="O742" s="11" t="s">
        <v>45</v>
      </c>
      <c r="P742" s="11" t="s">
        <v>95</v>
      </c>
      <c r="Q742" s="11" t="s">
        <v>26</v>
      </c>
    </row>
    <row r="743" spans="1:17" x14ac:dyDescent="0.25">
      <c r="A743" s="11" t="s">
        <v>1274</v>
      </c>
      <c r="B743" s="12">
        <v>46004</v>
      </c>
      <c r="C743" s="11" t="s">
        <v>49</v>
      </c>
      <c r="D743" s="11" t="s">
        <v>50</v>
      </c>
      <c r="E743" s="11" t="s">
        <v>62</v>
      </c>
      <c r="F743" s="11" t="s">
        <v>21</v>
      </c>
      <c r="G743" s="11">
        <v>5</v>
      </c>
      <c r="H743" s="11">
        <v>1800</v>
      </c>
      <c r="I743" s="13">
        <v>0.15</v>
      </c>
      <c r="J743" s="11">
        <v>7650</v>
      </c>
      <c r="K743" s="11">
        <v>6909.4</v>
      </c>
      <c r="L743" s="11">
        <v>740.6</v>
      </c>
      <c r="M743" s="11" t="s">
        <v>43</v>
      </c>
      <c r="N743" s="11" t="s">
        <v>44</v>
      </c>
      <c r="O743" s="11" t="s">
        <v>32</v>
      </c>
      <c r="P743" s="11" t="s">
        <v>37</v>
      </c>
      <c r="Q743" s="11" t="s">
        <v>26</v>
      </c>
    </row>
    <row r="744" spans="1:17" x14ac:dyDescent="0.25">
      <c r="A744" s="11" t="s">
        <v>1275</v>
      </c>
      <c r="B744" s="12">
        <v>45733</v>
      </c>
      <c r="C744" s="11" t="s">
        <v>505</v>
      </c>
      <c r="D744" s="11" t="s">
        <v>506</v>
      </c>
      <c r="E744" s="11" t="s">
        <v>141</v>
      </c>
      <c r="F744" s="11" t="s">
        <v>21</v>
      </c>
      <c r="G744" s="11">
        <v>3</v>
      </c>
      <c r="H744" s="11">
        <v>22000</v>
      </c>
      <c r="I744" s="13">
        <v>0.15</v>
      </c>
      <c r="J744" s="11">
        <v>56100</v>
      </c>
      <c r="K744" s="11">
        <v>48761.19</v>
      </c>
      <c r="L744" s="11">
        <v>7338.81</v>
      </c>
      <c r="M744" s="11" t="s">
        <v>75</v>
      </c>
      <c r="N744" s="11" t="s">
        <v>76</v>
      </c>
      <c r="O744" s="11" t="s">
        <v>32</v>
      </c>
      <c r="P744" s="11" t="s">
        <v>46</v>
      </c>
      <c r="Q744" s="11" t="s">
        <v>26</v>
      </c>
    </row>
    <row r="745" spans="1:17" x14ac:dyDescent="0.25">
      <c r="A745" s="11" t="s">
        <v>1276</v>
      </c>
      <c r="B745" s="12">
        <v>45945</v>
      </c>
      <c r="C745" s="11" t="s">
        <v>754</v>
      </c>
      <c r="D745" s="11" t="s">
        <v>755</v>
      </c>
      <c r="E745" s="11" t="s">
        <v>54</v>
      </c>
      <c r="F745" s="11" t="s">
        <v>31</v>
      </c>
      <c r="G745" s="11">
        <v>3</v>
      </c>
      <c r="H745" s="11">
        <v>2800</v>
      </c>
      <c r="I745" s="11">
        <v>0.15</v>
      </c>
      <c r="J745" s="11">
        <v>7140</v>
      </c>
      <c r="K745" s="11">
        <v>6866.21</v>
      </c>
      <c r="L745" s="11">
        <v>273.79000000000002</v>
      </c>
      <c r="M745" s="11" t="s">
        <v>43</v>
      </c>
      <c r="N745" s="11" t="s">
        <v>44</v>
      </c>
      <c r="O745" s="11" t="s">
        <v>45</v>
      </c>
      <c r="P745" s="11" t="s">
        <v>37</v>
      </c>
      <c r="Q745" s="11" t="s">
        <v>26</v>
      </c>
    </row>
    <row r="746" spans="1:17" x14ac:dyDescent="0.25">
      <c r="A746" s="11" t="s">
        <v>1277</v>
      </c>
      <c r="B746" s="12">
        <v>45870</v>
      </c>
      <c r="C746" s="11" t="s">
        <v>239</v>
      </c>
      <c r="D746" s="11" t="s">
        <v>240</v>
      </c>
      <c r="E746" s="11" t="s">
        <v>103</v>
      </c>
      <c r="F746" s="11" t="s">
        <v>42</v>
      </c>
      <c r="G746" s="11">
        <v>2</v>
      </c>
      <c r="H746" s="11">
        <v>6000</v>
      </c>
      <c r="I746" s="13">
        <v>0.15</v>
      </c>
      <c r="J746" s="11">
        <v>10200</v>
      </c>
      <c r="K746" s="11">
        <v>9420.6200000000008</v>
      </c>
      <c r="L746" s="11">
        <v>779.38</v>
      </c>
      <c r="M746" s="11" t="s">
        <v>80</v>
      </c>
      <c r="N746" s="11" t="s">
        <v>81</v>
      </c>
      <c r="O746" s="11" t="s">
        <v>32</v>
      </c>
      <c r="P746" s="11" t="s">
        <v>95</v>
      </c>
      <c r="Q746" s="11" t="s">
        <v>26</v>
      </c>
    </row>
    <row r="747" spans="1:17" x14ac:dyDescent="0.25">
      <c r="A747" s="11" t="s">
        <v>1278</v>
      </c>
      <c r="B747" s="12">
        <v>45829</v>
      </c>
      <c r="C747" s="11" t="s">
        <v>330</v>
      </c>
      <c r="D747" s="11" t="s">
        <v>331</v>
      </c>
      <c r="E747" s="11" t="s">
        <v>103</v>
      </c>
      <c r="F747" s="11" t="s">
        <v>42</v>
      </c>
      <c r="G747" s="11">
        <v>4</v>
      </c>
      <c r="H747" s="11">
        <v>6000</v>
      </c>
      <c r="I747" s="11">
        <v>0.2</v>
      </c>
      <c r="J747" s="11">
        <v>19200</v>
      </c>
      <c r="K747" s="11">
        <v>20899.73</v>
      </c>
      <c r="L747" s="11">
        <v>-1699.73</v>
      </c>
      <c r="M747" s="11" t="s">
        <v>43</v>
      </c>
      <c r="N747" s="11" t="s">
        <v>44</v>
      </c>
      <c r="O747" s="11" t="s">
        <v>45</v>
      </c>
      <c r="P747" s="11" t="s">
        <v>55</v>
      </c>
      <c r="Q747" s="11" t="s">
        <v>26</v>
      </c>
    </row>
    <row r="748" spans="1:17" x14ac:dyDescent="0.25">
      <c r="A748" s="11" t="s">
        <v>1279</v>
      </c>
      <c r="B748" s="12">
        <v>45747</v>
      </c>
      <c r="C748" s="11" t="s">
        <v>257</v>
      </c>
      <c r="D748" s="11" t="s">
        <v>258</v>
      </c>
      <c r="E748" s="11" t="s">
        <v>30</v>
      </c>
      <c r="F748" s="11" t="s">
        <v>31</v>
      </c>
      <c r="G748" s="11">
        <v>3</v>
      </c>
      <c r="H748" s="11">
        <v>1200</v>
      </c>
      <c r="I748" s="13">
        <v>0.15</v>
      </c>
      <c r="J748" s="11">
        <v>3060</v>
      </c>
      <c r="K748" s="11">
        <v>2810.23</v>
      </c>
      <c r="L748" s="11">
        <v>249.77</v>
      </c>
      <c r="M748" s="11" t="s">
        <v>70</v>
      </c>
      <c r="N748" s="11" t="s">
        <v>71</v>
      </c>
      <c r="O748" s="11" t="s">
        <v>32</v>
      </c>
      <c r="P748" s="11" t="s">
        <v>95</v>
      </c>
      <c r="Q748" s="11" t="s">
        <v>26</v>
      </c>
    </row>
    <row r="749" spans="1:17" x14ac:dyDescent="0.25">
      <c r="A749" s="11" t="s">
        <v>1280</v>
      </c>
      <c r="B749" s="12">
        <v>45909</v>
      </c>
      <c r="C749" s="11" t="s">
        <v>618</v>
      </c>
      <c r="D749" s="11" t="s">
        <v>619</v>
      </c>
      <c r="E749" s="11" t="s">
        <v>85</v>
      </c>
      <c r="F749" s="11" t="s">
        <v>86</v>
      </c>
      <c r="G749" s="11">
        <v>3</v>
      </c>
      <c r="H749" s="11">
        <v>450</v>
      </c>
      <c r="I749" s="11">
        <v>0.2</v>
      </c>
      <c r="J749" s="11">
        <v>1080</v>
      </c>
      <c r="K749" s="11">
        <v>1134.05</v>
      </c>
      <c r="L749" s="11">
        <v>-54.05</v>
      </c>
      <c r="M749" s="11" t="s">
        <v>99</v>
      </c>
      <c r="N749" s="11" t="s">
        <v>71</v>
      </c>
      <c r="O749" s="11" t="s">
        <v>24</v>
      </c>
      <c r="P749" s="11" t="s">
        <v>46</v>
      </c>
      <c r="Q749" s="11" t="s">
        <v>26</v>
      </c>
    </row>
    <row r="750" spans="1:17" x14ac:dyDescent="0.25">
      <c r="A750" s="11" t="s">
        <v>1281</v>
      </c>
      <c r="B750" s="12">
        <v>45659</v>
      </c>
      <c r="C750" s="11" t="s">
        <v>762</v>
      </c>
      <c r="D750" s="11" t="s">
        <v>763</v>
      </c>
      <c r="E750" s="11" t="s">
        <v>131</v>
      </c>
      <c r="F750" s="11" t="s">
        <v>21</v>
      </c>
      <c r="G750" s="11">
        <v>2</v>
      </c>
      <c r="H750" s="11">
        <v>1600</v>
      </c>
      <c r="I750" s="11">
        <v>0</v>
      </c>
      <c r="J750" s="11">
        <v>3200</v>
      </c>
      <c r="K750" s="11">
        <v>2300.92</v>
      </c>
      <c r="L750" s="11">
        <v>899.08</v>
      </c>
      <c r="M750" s="11" t="s">
        <v>80</v>
      </c>
      <c r="N750" s="11" t="s">
        <v>81</v>
      </c>
      <c r="O750" s="11" t="s">
        <v>24</v>
      </c>
      <c r="P750" s="11" t="s">
        <v>37</v>
      </c>
      <c r="Q750" s="11" t="s">
        <v>26</v>
      </c>
    </row>
    <row r="751" spans="1:17" x14ac:dyDescent="0.25">
      <c r="A751" s="11" t="s">
        <v>1282</v>
      </c>
      <c r="B751" s="12">
        <v>45909</v>
      </c>
      <c r="C751" s="11" t="s">
        <v>1283</v>
      </c>
      <c r="D751" s="11" t="s">
        <v>1284</v>
      </c>
      <c r="E751" s="11" t="s">
        <v>103</v>
      </c>
      <c r="F751" s="11" t="s">
        <v>42</v>
      </c>
      <c r="G751" s="11">
        <v>4</v>
      </c>
      <c r="H751" s="11">
        <v>6000</v>
      </c>
      <c r="I751" s="11">
        <v>0.05</v>
      </c>
      <c r="J751" s="11">
        <v>22800</v>
      </c>
      <c r="K751" s="11">
        <v>16258.84</v>
      </c>
      <c r="L751" s="11">
        <v>6541.16</v>
      </c>
      <c r="M751" s="11" t="s">
        <v>22</v>
      </c>
      <c r="N751" s="11" t="s">
        <v>23</v>
      </c>
      <c r="O751" s="11" t="s">
        <v>45</v>
      </c>
      <c r="P751" s="11" t="s">
        <v>37</v>
      </c>
      <c r="Q751" s="11" t="s">
        <v>26</v>
      </c>
    </row>
    <row r="752" spans="1:17" x14ac:dyDescent="0.25">
      <c r="A752" s="11" t="s">
        <v>1285</v>
      </c>
      <c r="B752" s="12">
        <v>45947</v>
      </c>
      <c r="C752" s="11" t="s">
        <v>336</v>
      </c>
      <c r="D752" s="11" t="s">
        <v>337</v>
      </c>
      <c r="E752" s="11" t="s">
        <v>54</v>
      </c>
      <c r="F752" s="11" t="s">
        <v>31</v>
      </c>
      <c r="G752" s="11">
        <v>5</v>
      </c>
      <c r="H752" s="11">
        <v>2800</v>
      </c>
      <c r="I752" s="11">
        <v>0.15</v>
      </c>
      <c r="J752" s="11">
        <v>11900</v>
      </c>
      <c r="K752" s="11">
        <v>9930.48</v>
      </c>
      <c r="L752" s="11">
        <v>1969.52</v>
      </c>
      <c r="M752" s="11" t="s">
        <v>75</v>
      </c>
      <c r="N752" s="11" t="s">
        <v>76</v>
      </c>
      <c r="O752" s="11" t="s">
        <v>24</v>
      </c>
      <c r="P752" s="11" t="s">
        <v>37</v>
      </c>
      <c r="Q752" s="11" t="s">
        <v>60</v>
      </c>
    </row>
    <row r="753" spans="1:17" x14ac:dyDescent="0.25">
      <c r="A753" s="11" t="s">
        <v>1286</v>
      </c>
      <c r="B753" s="12">
        <v>45952</v>
      </c>
      <c r="C753" s="11" t="s">
        <v>403</v>
      </c>
      <c r="D753" s="11" t="s">
        <v>404</v>
      </c>
      <c r="E753" s="11" t="s">
        <v>20</v>
      </c>
      <c r="F753" s="11" t="s">
        <v>21</v>
      </c>
      <c r="G753" s="11">
        <v>3</v>
      </c>
      <c r="H753" s="11">
        <v>4500</v>
      </c>
      <c r="I753" s="11">
        <v>0.2</v>
      </c>
      <c r="J753" s="11">
        <v>10800</v>
      </c>
      <c r="K753" s="11">
        <v>9580.86</v>
      </c>
      <c r="L753" s="11">
        <v>1219.1400000000001</v>
      </c>
      <c r="M753" s="11" t="s">
        <v>99</v>
      </c>
      <c r="N753" s="11" t="s">
        <v>71</v>
      </c>
      <c r="O753" s="11" t="s">
        <v>24</v>
      </c>
      <c r="P753" s="11" t="s">
        <v>55</v>
      </c>
      <c r="Q753" s="11" t="s">
        <v>26</v>
      </c>
    </row>
    <row r="754" spans="1:17" x14ac:dyDescent="0.25">
      <c r="A754" s="11" t="s">
        <v>1287</v>
      </c>
      <c r="B754" s="12">
        <v>45840</v>
      </c>
      <c r="C754" s="11" t="s">
        <v>1204</v>
      </c>
      <c r="D754" s="11" t="s">
        <v>1205</v>
      </c>
      <c r="E754" s="11" t="s">
        <v>66</v>
      </c>
      <c r="F754" s="11" t="s">
        <v>31</v>
      </c>
      <c r="G754" s="11">
        <v>4</v>
      </c>
      <c r="H754" s="11">
        <v>3500</v>
      </c>
      <c r="I754" s="11">
        <v>0.05</v>
      </c>
      <c r="J754" s="11">
        <v>13300</v>
      </c>
      <c r="K754" s="11">
        <v>9978</v>
      </c>
      <c r="L754" s="11">
        <v>3322</v>
      </c>
      <c r="M754" s="11" t="s">
        <v>80</v>
      </c>
      <c r="N754" s="11" t="s">
        <v>81</v>
      </c>
      <c r="O754" s="11" t="s">
        <v>45</v>
      </c>
      <c r="P754" s="11" t="s">
        <v>46</v>
      </c>
      <c r="Q754" s="11" t="s">
        <v>26</v>
      </c>
    </row>
    <row r="755" spans="1:17" x14ac:dyDescent="0.25">
      <c r="A755" s="11" t="s">
        <v>1288</v>
      </c>
      <c r="B755" s="12">
        <v>45985</v>
      </c>
      <c r="C755" s="11" t="s">
        <v>847</v>
      </c>
      <c r="D755" s="11" t="s">
        <v>848</v>
      </c>
      <c r="E755" s="11" t="s">
        <v>103</v>
      </c>
      <c r="F755" s="11" t="s">
        <v>42</v>
      </c>
      <c r="G755" s="11">
        <v>3</v>
      </c>
      <c r="H755" s="11">
        <v>6000</v>
      </c>
      <c r="I755" s="11">
        <v>0.2</v>
      </c>
      <c r="J755" s="11">
        <v>14400</v>
      </c>
      <c r="K755" s="11">
        <v>12502.39</v>
      </c>
      <c r="L755" s="11">
        <v>1897.61</v>
      </c>
      <c r="M755" s="11" t="s">
        <v>43</v>
      </c>
      <c r="N755" s="11" t="s">
        <v>44</v>
      </c>
      <c r="O755" s="11" t="s">
        <v>24</v>
      </c>
      <c r="P755" s="11" t="s">
        <v>95</v>
      </c>
      <c r="Q755" s="11" t="s">
        <v>26</v>
      </c>
    </row>
    <row r="756" spans="1:17" x14ac:dyDescent="0.25">
      <c r="A756" s="11" t="s">
        <v>1289</v>
      </c>
      <c r="B756" s="12">
        <v>45819</v>
      </c>
      <c r="C756" s="11" t="s">
        <v>420</v>
      </c>
      <c r="D756" s="11" t="s">
        <v>421</v>
      </c>
      <c r="E756" s="11" t="s">
        <v>93</v>
      </c>
      <c r="F756" s="11" t="s">
        <v>94</v>
      </c>
      <c r="G756" s="11">
        <v>5</v>
      </c>
      <c r="H756" s="11">
        <v>2800</v>
      </c>
      <c r="I756" s="11">
        <v>0.1</v>
      </c>
      <c r="J756" s="11">
        <v>12600</v>
      </c>
      <c r="K756" s="11">
        <v>11307.13</v>
      </c>
      <c r="L756" s="11">
        <v>1292.8699999999999</v>
      </c>
      <c r="M756" s="11" t="s">
        <v>36</v>
      </c>
      <c r="N756" s="11" t="s">
        <v>23</v>
      </c>
      <c r="O756" s="11" t="s">
        <v>24</v>
      </c>
      <c r="P756" s="11" t="s">
        <v>46</v>
      </c>
      <c r="Q756" s="11" t="s">
        <v>26</v>
      </c>
    </row>
    <row r="757" spans="1:17" x14ac:dyDescent="0.25">
      <c r="A757" s="11" t="s">
        <v>1290</v>
      </c>
      <c r="B757" s="12">
        <v>45728</v>
      </c>
      <c r="C757" s="11" t="s">
        <v>650</v>
      </c>
      <c r="D757" s="11" t="s">
        <v>651</v>
      </c>
      <c r="E757" s="11" t="s">
        <v>54</v>
      </c>
      <c r="F757" s="11" t="s">
        <v>31</v>
      </c>
      <c r="G757" s="11">
        <v>2</v>
      </c>
      <c r="H757" s="11">
        <v>2800</v>
      </c>
      <c r="I757" s="11">
        <v>0</v>
      </c>
      <c r="J757" s="11">
        <v>5600</v>
      </c>
      <c r="K757" s="11">
        <v>4643.1000000000004</v>
      </c>
      <c r="L757" s="11">
        <v>956.9</v>
      </c>
      <c r="M757" s="11" t="s">
        <v>36</v>
      </c>
      <c r="N757" s="11" t="s">
        <v>23</v>
      </c>
      <c r="O757" s="11" t="s">
        <v>45</v>
      </c>
      <c r="P757" s="11" t="s">
        <v>46</v>
      </c>
      <c r="Q757" s="11" t="s">
        <v>26</v>
      </c>
    </row>
    <row r="758" spans="1:17" x14ac:dyDescent="0.25">
      <c r="A758" s="11" t="s">
        <v>1291</v>
      </c>
      <c r="B758" s="12">
        <v>45915</v>
      </c>
      <c r="C758" s="11" t="s">
        <v>163</v>
      </c>
      <c r="D758" s="11" t="s">
        <v>164</v>
      </c>
      <c r="E758" s="11" t="s">
        <v>20</v>
      </c>
      <c r="F758" s="11" t="s">
        <v>21</v>
      </c>
      <c r="G758" s="11">
        <v>2</v>
      </c>
      <c r="H758" s="11">
        <v>4500</v>
      </c>
      <c r="I758" s="11">
        <v>0.05</v>
      </c>
      <c r="J758" s="11">
        <v>8550</v>
      </c>
      <c r="K758" s="11">
        <v>6240.02</v>
      </c>
      <c r="L758" s="11">
        <v>2309.98</v>
      </c>
      <c r="M758" s="11" t="s">
        <v>22</v>
      </c>
      <c r="N758" s="11" t="s">
        <v>23</v>
      </c>
      <c r="O758" s="11" t="s">
        <v>24</v>
      </c>
      <c r="P758" s="11" t="s">
        <v>25</v>
      </c>
      <c r="Q758" s="11" t="s">
        <v>60</v>
      </c>
    </row>
    <row r="759" spans="1:17" x14ac:dyDescent="0.25">
      <c r="A759" s="11" t="s">
        <v>1292</v>
      </c>
      <c r="B759" s="12">
        <v>45697</v>
      </c>
      <c r="C759" s="11" t="s">
        <v>476</v>
      </c>
      <c r="D759" s="11" t="s">
        <v>477</v>
      </c>
      <c r="E759" s="11" t="s">
        <v>20</v>
      </c>
      <c r="F759" s="11" t="s">
        <v>21</v>
      </c>
      <c r="G759" s="11">
        <v>4</v>
      </c>
      <c r="H759" s="11">
        <v>4500</v>
      </c>
      <c r="I759" s="13">
        <v>0.15</v>
      </c>
      <c r="J759" s="11">
        <v>15300</v>
      </c>
      <c r="K759" s="11">
        <v>12243.3</v>
      </c>
      <c r="L759" s="11">
        <v>3056.7</v>
      </c>
      <c r="M759" s="11" t="s">
        <v>43</v>
      </c>
      <c r="N759" s="11" t="s">
        <v>44</v>
      </c>
      <c r="O759" s="11" t="s">
        <v>32</v>
      </c>
      <c r="P759" s="11" t="s">
        <v>37</v>
      </c>
      <c r="Q759" s="11" t="s">
        <v>26</v>
      </c>
    </row>
    <row r="760" spans="1:17" x14ac:dyDescent="0.25">
      <c r="A760" s="11" t="s">
        <v>1293</v>
      </c>
      <c r="B760" s="12">
        <v>45884</v>
      </c>
      <c r="C760" s="11" t="s">
        <v>600</v>
      </c>
      <c r="D760" s="11" t="s">
        <v>601</v>
      </c>
      <c r="E760" s="11" t="s">
        <v>103</v>
      </c>
      <c r="F760" s="11" t="s">
        <v>42</v>
      </c>
      <c r="G760" s="11">
        <v>3</v>
      </c>
      <c r="H760" s="11">
        <v>6000</v>
      </c>
      <c r="I760" s="13">
        <v>0.05</v>
      </c>
      <c r="J760" s="11">
        <v>17100</v>
      </c>
      <c r="K760" s="11">
        <v>14638.96</v>
      </c>
      <c r="L760" s="11">
        <v>2461.04</v>
      </c>
      <c r="M760" s="11" t="s">
        <v>59</v>
      </c>
      <c r="N760" s="11" t="s">
        <v>59</v>
      </c>
      <c r="O760" s="11" t="s">
        <v>32</v>
      </c>
      <c r="P760" s="11" t="s">
        <v>55</v>
      </c>
      <c r="Q760" s="11" t="s">
        <v>26</v>
      </c>
    </row>
    <row r="761" spans="1:17" x14ac:dyDescent="0.25">
      <c r="A761" s="11" t="s">
        <v>1294</v>
      </c>
      <c r="B761" s="12">
        <v>45815</v>
      </c>
      <c r="C761" s="11" t="s">
        <v>721</v>
      </c>
      <c r="D761" s="11" t="s">
        <v>722</v>
      </c>
      <c r="E761" s="11" t="s">
        <v>107</v>
      </c>
      <c r="F761" s="11" t="s">
        <v>108</v>
      </c>
      <c r="G761" s="11">
        <v>2</v>
      </c>
      <c r="H761" s="11">
        <v>1400</v>
      </c>
      <c r="I761" s="13">
        <v>0.05</v>
      </c>
      <c r="J761" s="11">
        <v>2660</v>
      </c>
      <c r="K761" s="11">
        <v>1903.86</v>
      </c>
      <c r="L761" s="11">
        <v>756.14</v>
      </c>
      <c r="M761" s="11" t="s">
        <v>80</v>
      </c>
      <c r="N761" s="11" t="s">
        <v>81</v>
      </c>
      <c r="O761" s="11" t="s">
        <v>32</v>
      </c>
      <c r="P761" s="11" t="s">
        <v>37</v>
      </c>
      <c r="Q761" s="11" t="s">
        <v>60</v>
      </c>
    </row>
    <row r="762" spans="1:17" x14ac:dyDescent="0.25">
      <c r="A762" s="11" t="s">
        <v>1295</v>
      </c>
      <c r="B762" s="12">
        <v>45905</v>
      </c>
      <c r="C762" s="11" t="s">
        <v>792</v>
      </c>
      <c r="D762" s="11" t="s">
        <v>793</v>
      </c>
      <c r="E762" s="11" t="s">
        <v>20</v>
      </c>
      <c r="F762" s="11" t="s">
        <v>21</v>
      </c>
      <c r="G762" s="11">
        <v>1</v>
      </c>
      <c r="H762" s="11">
        <v>4500</v>
      </c>
      <c r="I762" s="13">
        <v>0</v>
      </c>
      <c r="J762" s="11">
        <v>4500</v>
      </c>
      <c r="K762" s="11">
        <v>3128.22</v>
      </c>
      <c r="L762" s="11">
        <v>1371.78</v>
      </c>
      <c r="M762" s="11" t="s">
        <v>75</v>
      </c>
      <c r="N762" s="11" t="s">
        <v>76</v>
      </c>
      <c r="O762" s="11" t="s">
        <v>32</v>
      </c>
      <c r="P762" s="11" t="s">
        <v>25</v>
      </c>
      <c r="Q762" s="11" t="s">
        <v>47</v>
      </c>
    </row>
    <row r="763" spans="1:17" x14ac:dyDescent="0.25">
      <c r="A763" s="11" t="s">
        <v>1296</v>
      </c>
      <c r="B763" s="12">
        <v>45787</v>
      </c>
      <c r="C763" s="11" t="s">
        <v>406</v>
      </c>
      <c r="D763" s="11" t="s">
        <v>407</v>
      </c>
      <c r="E763" s="11" t="s">
        <v>141</v>
      </c>
      <c r="F763" s="11" t="s">
        <v>21</v>
      </c>
      <c r="G763" s="11">
        <v>4</v>
      </c>
      <c r="H763" s="11">
        <v>22000</v>
      </c>
      <c r="I763" s="13">
        <v>0</v>
      </c>
      <c r="J763" s="11">
        <v>88000</v>
      </c>
      <c r="K763" s="11">
        <v>63305.31</v>
      </c>
      <c r="L763" s="11">
        <v>24694.69</v>
      </c>
      <c r="M763" s="11" t="s">
        <v>99</v>
      </c>
      <c r="N763" s="11" t="s">
        <v>71</v>
      </c>
      <c r="O763" s="11" t="s">
        <v>32</v>
      </c>
      <c r="P763" s="11" t="s">
        <v>55</v>
      </c>
      <c r="Q763" s="11" t="s">
        <v>26</v>
      </c>
    </row>
    <row r="764" spans="1:17" x14ac:dyDescent="0.25">
      <c r="A764" s="11" t="s">
        <v>1297</v>
      </c>
      <c r="B764" s="12">
        <v>45752</v>
      </c>
      <c r="C764" s="11" t="s">
        <v>1283</v>
      </c>
      <c r="D764" s="11" t="s">
        <v>1284</v>
      </c>
      <c r="E764" s="11" t="s">
        <v>112</v>
      </c>
      <c r="F764" s="11" t="s">
        <v>94</v>
      </c>
      <c r="G764" s="11">
        <v>5</v>
      </c>
      <c r="H764" s="11">
        <v>800</v>
      </c>
      <c r="I764" s="11">
        <v>0.05</v>
      </c>
      <c r="J764" s="11">
        <v>3800</v>
      </c>
      <c r="K764" s="11">
        <v>2683.52</v>
      </c>
      <c r="L764" s="11">
        <v>1116.48</v>
      </c>
      <c r="M764" s="11" t="s">
        <v>59</v>
      </c>
      <c r="N764" s="11" t="s">
        <v>59</v>
      </c>
      <c r="O764" s="11" t="s">
        <v>24</v>
      </c>
      <c r="P764" s="11" t="s">
        <v>46</v>
      </c>
      <c r="Q764" s="11" t="s">
        <v>47</v>
      </c>
    </row>
    <row r="765" spans="1:17" x14ac:dyDescent="0.25">
      <c r="A765" s="11" t="s">
        <v>1298</v>
      </c>
      <c r="B765" s="12">
        <v>45914</v>
      </c>
      <c r="C765" s="11" t="s">
        <v>551</v>
      </c>
      <c r="D765" s="11" t="s">
        <v>552</v>
      </c>
      <c r="E765" s="11" t="s">
        <v>54</v>
      </c>
      <c r="F765" s="11" t="s">
        <v>31</v>
      </c>
      <c r="G765" s="11">
        <v>3</v>
      </c>
      <c r="H765" s="11">
        <v>2800</v>
      </c>
      <c r="I765" s="13">
        <v>0.05</v>
      </c>
      <c r="J765" s="11">
        <v>7980</v>
      </c>
      <c r="K765" s="11">
        <v>6561.69</v>
      </c>
      <c r="L765" s="11">
        <v>1418.31</v>
      </c>
      <c r="M765" s="11" t="s">
        <v>22</v>
      </c>
      <c r="N765" s="11" t="s">
        <v>23</v>
      </c>
      <c r="O765" s="11" t="s">
        <v>32</v>
      </c>
      <c r="P765" s="11" t="s">
        <v>25</v>
      </c>
      <c r="Q765" s="11" t="s">
        <v>26</v>
      </c>
    </row>
    <row r="766" spans="1:17" x14ac:dyDescent="0.25">
      <c r="A766" s="11" t="s">
        <v>1299</v>
      </c>
      <c r="B766" s="12">
        <v>45745</v>
      </c>
      <c r="C766" s="11" t="s">
        <v>49</v>
      </c>
      <c r="D766" s="11" t="s">
        <v>50</v>
      </c>
      <c r="E766" s="11" t="s">
        <v>112</v>
      </c>
      <c r="F766" s="11" t="s">
        <v>94</v>
      </c>
      <c r="G766" s="11">
        <v>2</v>
      </c>
      <c r="H766" s="11">
        <v>800</v>
      </c>
      <c r="I766" s="13">
        <v>0.1</v>
      </c>
      <c r="J766" s="11">
        <v>1440</v>
      </c>
      <c r="K766" s="11">
        <v>1306.93</v>
      </c>
      <c r="L766" s="11">
        <v>133.07</v>
      </c>
      <c r="M766" s="11" t="s">
        <v>99</v>
      </c>
      <c r="N766" s="11" t="s">
        <v>71</v>
      </c>
      <c r="O766" s="11" t="s">
        <v>32</v>
      </c>
      <c r="P766" s="11" t="s">
        <v>25</v>
      </c>
      <c r="Q766" s="11" t="s">
        <v>60</v>
      </c>
    </row>
    <row r="767" spans="1:17" x14ac:dyDescent="0.25">
      <c r="A767" s="11" t="s">
        <v>1300</v>
      </c>
      <c r="B767" s="12">
        <v>45752</v>
      </c>
      <c r="C767" s="11" t="s">
        <v>143</v>
      </c>
      <c r="D767" s="11" t="s">
        <v>144</v>
      </c>
      <c r="E767" s="11" t="s">
        <v>123</v>
      </c>
      <c r="F767" s="11" t="s">
        <v>21</v>
      </c>
      <c r="G767" s="11">
        <v>3</v>
      </c>
      <c r="H767" s="11">
        <v>2200</v>
      </c>
      <c r="I767" s="13">
        <v>0.2</v>
      </c>
      <c r="J767" s="11">
        <v>5280</v>
      </c>
      <c r="K767" s="11">
        <v>5743.86</v>
      </c>
      <c r="L767" s="11">
        <v>-463.86</v>
      </c>
      <c r="M767" s="11" t="s">
        <v>70</v>
      </c>
      <c r="N767" s="11" t="s">
        <v>71</v>
      </c>
      <c r="O767" s="11" t="s">
        <v>32</v>
      </c>
      <c r="P767" s="11" t="s">
        <v>46</v>
      </c>
      <c r="Q767" s="11" t="s">
        <v>26</v>
      </c>
    </row>
    <row r="768" spans="1:17" x14ac:dyDescent="0.25">
      <c r="A768" s="11" t="s">
        <v>1301</v>
      </c>
      <c r="B768" s="12">
        <v>45774</v>
      </c>
      <c r="C768" s="11" t="s">
        <v>837</v>
      </c>
      <c r="D768" s="11" t="s">
        <v>838</v>
      </c>
      <c r="E768" s="11" t="s">
        <v>30</v>
      </c>
      <c r="F768" s="11" t="s">
        <v>31</v>
      </c>
      <c r="G768" s="11">
        <v>2</v>
      </c>
      <c r="H768" s="11">
        <v>1200</v>
      </c>
      <c r="I768" s="11">
        <v>0.2</v>
      </c>
      <c r="J768" s="11">
        <v>1920</v>
      </c>
      <c r="K768" s="11">
        <v>1980.3</v>
      </c>
      <c r="L768" s="11">
        <v>-60.3</v>
      </c>
      <c r="M768" s="11" t="s">
        <v>75</v>
      </c>
      <c r="N768" s="11" t="s">
        <v>76</v>
      </c>
      <c r="O768" s="11" t="s">
        <v>45</v>
      </c>
      <c r="P768" s="11" t="s">
        <v>55</v>
      </c>
      <c r="Q768" s="11" t="s">
        <v>26</v>
      </c>
    </row>
    <row r="769" spans="1:17" x14ac:dyDescent="0.25">
      <c r="A769" s="11" t="s">
        <v>1302</v>
      </c>
      <c r="B769" s="12">
        <v>45911</v>
      </c>
      <c r="C769" s="11" t="s">
        <v>725</v>
      </c>
      <c r="D769" s="11" t="s">
        <v>726</v>
      </c>
      <c r="E769" s="11" t="s">
        <v>20</v>
      </c>
      <c r="F769" s="11" t="s">
        <v>21</v>
      </c>
      <c r="G769" s="11">
        <v>5</v>
      </c>
      <c r="H769" s="11">
        <v>4500</v>
      </c>
      <c r="I769" s="11">
        <v>0.05</v>
      </c>
      <c r="J769" s="11">
        <v>21375</v>
      </c>
      <c r="K769" s="11">
        <v>16116.8</v>
      </c>
      <c r="L769" s="11">
        <v>5258.2</v>
      </c>
      <c r="M769" s="11" t="s">
        <v>59</v>
      </c>
      <c r="N769" s="11" t="s">
        <v>59</v>
      </c>
      <c r="O769" s="11" t="s">
        <v>24</v>
      </c>
      <c r="P769" s="11" t="s">
        <v>55</v>
      </c>
      <c r="Q769" s="11" t="s">
        <v>26</v>
      </c>
    </row>
    <row r="770" spans="1:17" x14ac:dyDescent="0.25">
      <c r="A770" s="11" t="s">
        <v>1303</v>
      </c>
      <c r="B770" s="12">
        <v>45855</v>
      </c>
      <c r="C770" s="11" t="s">
        <v>386</v>
      </c>
      <c r="D770" s="11" t="s">
        <v>387</v>
      </c>
      <c r="E770" s="11" t="s">
        <v>66</v>
      </c>
      <c r="F770" s="11" t="s">
        <v>31</v>
      </c>
      <c r="G770" s="11">
        <v>4</v>
      </c>
      <c r="H770" s="11">
        <v>3500</v>
      </c>
      <c r="I770" s="11">
        <v>0</v>
      </c>
      <c r="J770" s="11">
        <v>14000</v>
      </c>
      <c r="K770" s="11">
        <v>11033.25</v>
      </c>
      <c r="L770" s="11">
        <v>2966.75</v>
      </c>
      <c r="M770" s="11" t="s">
        <v>36</v>
      </c>
      <c r="N770" s="11" t="s">
        <v>23</v>
      </c>
      <c r="O770" s="11" t="s">
        <v>45</v>
      </c>
      <c r="P770" s="11" t="s">
        <v>37</v>
      </c>
      <c r="Q770" s="11" t="s">
        <v>26</v>
      </c>
    </row>
    <row r="771" spans="1:17" x14ac:dyDescent="0.25">
      <c r="A771" s="11" t="s">
        <v>1304</v>
      </c>
      <c r="B771" s="12">
        <v>45754</v>
      </c>
      <c r="C771" s="11" t="s">
        <v>662</v>
      </c>
      <c r="D771" s="11" t="s">
        <v>663</v>
      </c>
      <c r="E771" s="11" t="s">
        <v>30</v>
      </c>
      <c r="F771" s="11" t="s">
        <v>31</v>
      </c>
      <c r="G771" s="11">
        <v>3</v>
      </c>
      <c r="H771" s="11">
        <v>1200</v>
      </c>
      <c r="I771" s="11">
        <v>0.15</v>
      </c>
      <c r="J771" s="11">
        <v>3060</v>
      </c>
      <c r="K771" s="11">
        <v>3036.4</v>
      </c>
      <c r="L771" s="11">
        <v>23.6</v>
      </c>
      <c r="M771" s="11" t="s">
        <v>43</v>
      </c>
      <c r="N771" s="11" t="s">
        <v>44</v>
      </c>
      <c r="O771" s="11" t="s">
        <v>45</v>
      </c>
      <c r="P771" s="11" t="s">
        <v>46</v>
      </c>
      <c r="Q771" s="11" t="s">
        <v>26</v>
      </c>
    </row>
    <row r="772" spans="1:17" x14ac:dyDescent="0.25">
      <c r="A772" s="11" t="s">
        <v>1305</v>
      </c>
      <c r="B772" s="12">
        <v>45860</v>
      </c>
      <c r="C772" s="11" t="s">
        <v>922</v>
      </c>
      <c r="D772" s="11" t="s">
        <v>923</v>
      </c>
      <c r="E772" s="11" t="s">
        <v>158</v>
      </c>
      <c r="F772" s="11" t="s">
        <v>21</v>
      </c>
      <c r="G772" s="11">
        <v>4</v>
      </c>
      <c r="H772" s="11">
        <v>55000</v>
      </c>
      <c r="I772" s="13">
        <v>0</v>
      </c>
      <c r="J772" s="11">
        <v>220000</v>
      </c>
      <c r="K772" s="11">
        <v>176322.54</v>
      </c>
      <c r="L772" s="11">
        <v>43677.46</v>
      </c>
      <c r="M772" s="11" t="s">
        <v>70</v>
      </c>
      <c r="N772" s="11" t="s">
        <v>71</v>
      </c>
      <c r="O772" s="11" t="s">
        <v>32</v>
      </c>
      <c r="P772" s="11" t="s">
        <v>55</v>
      </c>
      <c r="Q772" s="11" t="s">
        <v>26</v>
      </c>
    </row>
    <row r="773" spans="1:17" x14ac:dyDescent="0.25">
      <c r="A773" s="11" t="s">
        <v>1306</v>
      </c>
      <c r="B773" s="12">
        <v>45710</v>
      </c>
      <c r="C773" s="11" t="s">
        <v>406</v>
      </c>
      <c r="D773" s="11" t="s">
        <v>407</v>
      </c>
      <c r="E773" s="11" t="s">
        <v>85</v>
      </c>
      <c r="F773" s="11" t="s">
        <v>86</v>
      </c>
      <c r="G773" s="11">
        <v>4</v>
      </c>
      <c r="H773" s="11">
        <v>450</v>
      </c>
      <c r="I773" s="13">
        <v>0.2</v>
      </c>
      <c r="J773" s="11">
        <v>1440</v>
      </c>
      <c r="K773" s="11">
        <v>1320.58</v>
      </c>
      <c r="L773" s="11">
        <v>119.42</v>
      </c>
      <c r="M773" s="11" t="s">
        <v>80</v>
      </c>
      <c r="N773" s="11" t="s">
        <v>81</v>
      </c>
      <c r="O773" s="11" t="s">
        <v>32</v>
      </c>
      <c r="P773" s="11" t="s">
        <v>46</v>
      </c>
      <c r="Q773" s="11" t="s">
        <v>26</v>
      </c>
    </row>
    <row r="774" spans="1:17" x14ac:dyDescent="0.25">
      <c r="A774" s="11" t="s">
        <v>1307</v>
      </c>
      <c r="B774" s="12">
        <v>45875</v>
      </c>
      <c r="C774" s="11" t="s">
        <v>118</v>
      </c>
      <c r="D774" s="11" t="s">
        <v>119</v>
      </c>
      <c r="E774" s="11" t="s">
        <v>85</v>
      </c>
      <c r="F774" s="11" t="s">
        <v>86</v>
      </c>
      <c r="G774" s="11">
        <v>1</v>
      </c>
      <c r="H774" s="11">
        <v>450</v>
      </c>
      <c r="I774" s="11">
        <v>0.05</v>
      </c>
      <c r="J774" s="11">
        <v>427.5</v>
      </c>
      <c r="K774" s="11">
        <v>371.66</v>
      </c>
      <c r="L774" s="11">
        <v>55.84</v>
      </c>
      <c r="M774" s="11" t="s">
        <v>70</v>
      </c>
      <c r="N774" s="11" t="s">
        <v>71</v>
      </c>
      <c r="O774" s="11" t="s">
        <v>24</v>
      </c>
      <c r="P774" s="11" t="s">
        <v>25</v>
      </c>
      <c r="Q774" s="11" t="s">
        <v>26</v>
      </c>
    </row>
    <row r="775" spans="1:17" x14ac:dyDescent="0.25">
      <c r="A775" s="11" t="s">
        <v>1308</v>
      </c>
      <c r="B775" s="12">
        <v>45999</v>
      </c>
      <c r="C775" s="11" t="s">
        <v>230</v>
      </c>
      <c r="D775" s="11" t="s">
        <v>231</v>
      </c>
      <c r="E775" s="11" t="s">
        <v>85</v>
      </c>
      <c r="F775" s="11" t="s">
        <v>86</v>
      </c>
      <c r="G775" s="11">
        <v>3</v>
      </c>
      <c r="H775" s="11">
        <v>450</v>
      </c>
      <c r="I775" s="13">
        <v>0.15</v>
      </c>
      <c r="J775" s="11">
        <v>1147.5</v>
      </c>
      <c r="K775" s="11">
        <v>1036.29</v>
      </c>
      <c r="L775" s="11">
        <v>111.21</v>
      </c>
      <c r="M775" s="11" t="s">
        <v>75</v>
      </c>
      <c r="N775" s="11" t="s">
        <v>76</v>
      </c>
      <c r="O775" s="11" t="s">
        <v>32</v>
      </c>
      <c r="P775" s="11" t="s">
        <v>37</v>
      </c>
      <c r="Q775" s="11" t="s">
        <v>26</v>
      </c>
    </row>
    <row r="776" spans="1:17" x14ac:dyDescent="0.25">
      <c r="A776" s="11" t="s">
        <v>1309</v>
      </c>
      <c r="B776" s="12">
        <v>45912</v>
      </c>
      <c r="C776" s="11" t="s">
        <v>627</v>
      </c>
      <c r="D776" s="11" t="s">
        <v>628</v>
      </c>
      <c r="E776" s="11" t="s">
        <v>20</v>
      </c>
      <c r="F776" s="11" t="s">
        <v>21</v>
      </c>
      <c r="G776" s="11">
        <v>3</v>
      </c>
      <c r="H776" s="11">
        <v>4500</v>
      </c>
      <c r="I776" s="13">
        <v>0.15</v>
      </c>
      <c r="J776" s="11">
        <v>11475</v>
      </c>
      <c r="K776" s="11">
        <v>11701.16</v>
      </c>
      <c r="L776" s="11">
        <v>-226.16</v>
      </c>
      <c r="M776" s="11" t="s">
        <v>22</v>
      </c>
      <c r="N776" s="11" t="s">
        <v>23</v>
      </c>
      <c r="O776" s="11" t="s">
        <v>32</v>
      </c>
      <c r="P776" s="11" t="s">
        <v>55</v>
      </c>
      <c r="Q776" s="11" t="s">
        <v>60</v>
      </c>
    </row>
    <row r="777" spans="1:17" x14ac:dyDescent="0.25">
      <c r="A777" s="11" t="s">
        <v>1310</v>
      </c>
      <c r="B777" s="12">
        <v>46005</v>
      </c>
      <c r="C777" s="11" t="s">
        <v>83</v>
      </c>
      <c r="D777" s="11" t="s">
        <v>84</v>
      </c>
      <c r="E777" s="11" t="s">
        <v>141</v>
      </c>
      <c r="F777" s="11" t="s">
        <v>21</v>
      </c>
      <c r="G777" s="11">
        <v>1</v>
      </c>
      <c r="H777" s="11">
        <v>22000</v>
      </c>
      <c r="I777" s="11">
        <v>0.15</v>
      </c>
      <c r="J777" s="11">
        <v>18700</v>
      </c>
      <c r="K777" s="11">
        <v>15206.22</v>
      </c>
      <c r="L777" s="11">
        <v>3493.78</v>
      </c>
      <c r="M777" s="11" t="s">
        <v>99</v>
      </c>
      <c r="N777" s="11" t="s">
        <v>71</v>
      </c>
      <c r="O777" s="11" t="s">
        <v>24</v>
      </c>
      <c r="P777" s="11" t="s">
        <v>46</v>
      </c>
      <c r="Q777" s="11" t="s">
        <v>26</v>
      </c>
    </row>
    <row r="778" spans="1:17" x14ac:dyDescent="0.25">
      <c r="A778" s="11" t="s">
        <v>1311</v>
      </c>
      <c r="B778" s="12">
        <v>45707</v>
      </c>
      <c r="C778" s="11" t="s">
        <v>577</v>
      </c>
      <c r="D778" s="11" t="s">
        <v>578</v>
      </c>
      <c r="E778" s="11" t="s">
        <v>103</v>
      </c>
      <c r="F778" s="11" t="s">
        <v>42</v>
      </c>
      <c r="G778" s="11">
        <v>5</v>
      </c>
      <c r="H778" s="11">
        <v>6000</v>
      </c>
      <c r="I778" s="11">
        <v>0.2</v>
      </c>
      <c r="J778" s="11">
        <v>24000</v>
      </c>
      <c r="K778" s="11">
        <v>24686.11</v>
      </c>
      <c r="L778" s="11">
        <v>-686.11</v>
      </c>
      <c r="M778" s="11" t="s">
        <v>43</v>
      </c>
      <c r="N778" s="11" t="s">
        <v>44</v>
      </c>
      <c r="O778" s="11" t="s">
        <v>45</v>
      </c>
      <c r="P778" s="11" t="s">
        <v>37</v>
      </c>
      <c r="Q778" s="11" t="s">
        <v>26</v>
      </c>
    </row>
    <row r="779" spans="1:17" x14ac:dyDescent="0.25">
      <c r="A779" s="11" t="s">
        <v>1312</v>
      </c>
      <c r="B779" s="12">
        <v>45916</v>
      </c>
      <c r="C779" s="11" t="s">
        <v>717</v>
      </c>
      <c r="D779" s="11" t="s">
        <v>718</v>
      </c>
      <c r="E779" s="11" t="s">
        <v>103</v>
      </c>
      <c r="F779" s="11" t="s">
        <v>42</v>
      </c>
      <c r="G779" s="11">
        <v>4</v>
      </c>
      <c r="H779" s="11">
        <v>6000</v>
      </c>
      <c r="I779" s="11">
        <v>0.15</v>
      </c>
      <c r="J779" s="11">
        <v>20400</v>
      </c>
      <c r="K779" s="11">
        <v>17496.759999999998</v>
      </c>
      <c r="L779" s="11">
        <v>2903.24</v>
      </c>
      <c r="M779" s="11" t="s">
        <v>36</v>
      </c>
      <c r="N779" s="11" t="s">
        <v>23</v>
      </c>
      <c r="O779" s="11" t="s">
        <v>24</v>
      </c>
      <c r="P779" s="11" t="s">
        <v>25</v>
      </c>
      <c r="Q779" s="11" t="s">
        <v>26</v>
      </c>
    </row>
    <row r="780" spans="1:17" x14ac:dyDescent="0.25">
      <c r="A780" s="11" t="s">
        <v>1313</v>
      </c>
      <c r="B780" s="12">
        <v>45854</v>
      </c>
      <c r="C780" s="11" t="s">
        <v>641</v>
      </c>
      <c r="D780" s="11" t="s">
        <v>642</v>
      </c>
      <c r="E780" s="11" t="s">
        <v>141</v>
      </c>
      <c r="F780" s="11" t="s">
        <v>21</v>
      </c>
      <c r="G780" s="11">
        <v>4</v>
      </c>
      <c r="H780" s="11">
        <v>22000</v>
      </c>
      <c r="I780" s="11">
        <v>0</v>
      </c>
      <c r="J780" s="11">
        <v>88000</v>
      </c>
      <c r="K780" s="11">
        <v>74462.179999999993</v>
      </c>
      <c r="L780" s="11">
        <v>13537.82</v>
      </c>
      <c r="M780" s="11" t="s">
        <v>70</v>
      </c>
      <c r="N780" s="11" t="s">
        <v>71</v>
      </c>
      <c r="O780" s="11" t="s">
        <v>45</v>
      </c>
      <c r="P780" s="11" t="s">
        <v>37</v>
      </c>
      <c r="Q780" s="11" t="s">
        <v>26</v>
      </c>
    </row>
    <row r="781" spans="1:17" x14ac:dyDescent="0.25">
      <c r="A781" s="11" t="s">
        <v>1314</v>
      </c>
      <c r="B781" s="12">
        <v>45995</v>
      </c>
      <c r="C781" s="11" t="s">
        <v>1148</v>
      </c>
      <c r="D781" s="11" t="s">
        <v>1149</v>
      </c>
      <c r="E781" s="11" t="s">
        <v>141</v>
      </c>
      <c r="F781" s="11" t="s">
        <v>21</v>
      </c>
      <c r="G781" s="11">
        <v>2</v>
      </c>
      <c r="H781" s="11">
        <v>22000</v>
      </c>
      <c r="I781" s="11">
        <v>0.2</v>
      </c>
      <c r="J781" s="11">
        <v>35200</v>
      </c>
      <c r="K781" s="11">
        <v>35745.32</v>
      </c>
      <c r="L781" s="11">
        <v>-545.32000000000005</v>
      </c>
      <c r="M781" s="11" t="s">
        <v>36</v>
      </c>
      <c r="N781" s="11" t="s">
        <v>23</v>
      </c>
      <c r="O781" s="11" t="s">
        <v>45</v>
      </c>
      <c r="P781" s="11" t="s">
        <v>37</v>
      </c>
      <c r="Q781" s="11" t="s">
        <v>26</v>
      </c>
    </row>
    <row r="782" spans="1:17" x14ac:dyDescent="0.25">
      <c r="A782" s="11" t="s">
        <v>1315</v>
      </c>
      <c r="B782" s="12">
        <v>45714</v>
      </c>
      <c r="C782" s="11" t="s">
        <v>1113</v>
      </c>
      <c r="D782" s="11" t="s">
        <v>1114</v>
      </c>
      <c r="E782" s="11" t="s">
        <v>103</v>
      </c>
      <c r="F782" s="11" t="s">
        <v>42</v>
      </c>
      <c r="G782" s="11">
        <v>4</v>
      </c>
      <c r="H782" s="11">
        <v>6000</v>
      </c>
      <c r="I782" s="11">
        <v>0.15</v>
      </c>
      <c r="J782" s="11">
        <v>20400</v>
      </c>
      <c r="K782" s="11">
        <v>18656.89</v>
      </c>
      <c r="L782" s="11">
        <v>1743.11</v>
      </c>
      <c r="M782" s="11" t="s">
        <v>70</v>
      </c>
      <c r="N782" s="11" t="s">
        <v>71</v>
      </c>
      <c r="O782" s="11" t="s">
        <v>24</v>
      </c>
      <c r="P782" s="11" t="s">
        <v>25</v>
      </c>
      <c r="Q782" s="11" t="s">
        <v>26</v>
      </c>
    </row>
    <row r="783" spans="1:17" x14ac:dyDescent="0.25">
      <c r="A783" s="11" t="s">
        <v>1316</v>
      </c>
      <c r="B783" s="12">
        <v>45917</v>
      </c>
      <c r="C783" s="11" t="s">
        <v>1021</v>
      </c>
      <c r="D783" s="11" t="s">
        <v>1022</v>
      </c>
      <c r="E783" s="11" t="s">
        <v>123</v>
      </c>
      <c r="F783" s="11" t="s">
        <v>21</v>
      </c>
      <c r="G783" s="11">
        <v>5</v>
      </c>
      <c r="H783" s="11">
        <v>2200</v>
      </c>
      <c r="I783" s="11">
        <v>0.05</v>
      </c>
      <c r="J783" s="11">
        <v>10450</v>
      </c>
      <c r="K783" s="11">
        <v>7816.38</v>
      </c>
      <c r="L783" s="11">
        <v>2633.62</v>
      </c>
      <c r="M783" s="11" t="s">
        <v>99</v>
      </c>
      <c r="N783" s="11" t="s">
        <v>71</v>
      </c>
      <c r="O783" s="11" t="s">
        <v>24</v>
      </c>
      <c r="P783" s="11" t="s">
        <v>37</v>
      </c>
      <c r="Q783" s="11" t="s">
        <v>47</v>
      </c>
    </row>
    <row r="784" spans="1:17" x14ac:dyDescent="0.25">
      <c r="A784" s="11" t="s">
        <v>1317</v>
      </c>
      <c r="B784" s="12">
        <v>45689</v>
      </c>
      <c r="C784" s="11" t="s">
        <v>564</v>
      </c>
      <c r="D784" s="11" t="s">
        <v>565</v>
      </c>
      <c r="E784" s="11" t="s">
        <v>54</v>
      </c>
      <c r="F784" s="11" t="s">
        <v>31</v>
      </c>
      <c r="G784" s="11">
        <v>3</v>
      </c>
      <c r="H784" s="11">
        <v>2800</v>
      </c>
      <c r="I784" s="11">
        <v>0.1</v>
      </c>
      <c r="J784" s="11">
        <v>7560</v>
      </c>
      <c r="K784" s="11">
        <v>5547.17</v>
      </c>
      <c r="L784" s="11">
        <v>2012.83</v>
      </c>
      <c r="M784" s="11" t="s">
        <v>99</v>
      </c>
      <c r="N784" s="11" t="s">
        <v>71</v>
      </c>
      <c r="O784" s="11" t="s">
        <v>45</v>
      </c>
      <c r="P784" s="11" t="s">
        <v>46</v>
      </c>
      <c r="Q784" s="11" t="s">
        <v>60</v>
      </c>
    </row>
    <row r="785" spans="1:17" x14ac:dyDescent="0.25">
      <c r="A785" s="11" t="s">
        <v>1318</v>
      </c>
      <c r="B785" s="12">
        <v>45707</v>
      </c>
      <c r="C785" s="11" t="s">
        <v>426</v>
      </c>
      <c r="D785" s="11" t="s">
        <v>427</v>
      </c>
      <c r="E785" s="11" t="s">
        <v>158</v>
      </c>
      <c r="F785" s="11" t="s">
        <v>21</v>
      </c>
      <c r="G785" s="11">
        <v>3</v>
      </c>
      <c r="H785" s="11">
        <v>55000</v>
      </c>
      <c r="I785" s="11">
        <v>0.15</v>
      </c>
      <c r="J785" s="11">
        <v>140250</v>
      </c>
      <c r="K785" s="11">
        <v>144894.32999999999</v>
      </c>
      <c r="L785" s="11">
        <v>-4644.33</v>
      </c>
      <c r="M785" s="11" t="s">
        <v>75</v>
      </c>
      <c r="N785" s="11" t="s">
        <v>76</v>
      </c>
      <c r="O785" s="11" t="s">
        <v>45</v>
      </c>
      <c r="P785" s="11" t="s">
        <v>46</v>
      </c>
      <c r="Q785" s="11" t="s">
        <v>26</v>
      </c>
    </row>
    <row r="786" spans="1:17" x14ac:dyDescent="0.25">
      <c r="A786" s="11" t="s">
        <v>1319</v>
      </c>
      <c r="B786" s="12">
        <v>45989</v>
      </c>
      <c r="C786" s="11" t="s">
        <v>564</v>
      </c>
      <c r="D786" s="11" t="s">
        <v>565</v>
      </c>
      <c r="E786" s="11" t="s">
        <v>116</v>
      </c>
      <c r="F786" s="11" t="s">
        <v>94</v>
      </c>
      <c r="G786" s="11">
        <v>2</v>
      </c>
      <c r="H786" s="11">
        <v>1800</v>
      </c>
      <c r="I786" s="11">
        <v>0.05</v>
      </c>
      <c r="J786" s="11">
        <v>3420</v>
      </c>
      <c r="K786" s="11">
        <v>2410.33</v>
      </c>
      <c r="L786" s="11">
        <v>1009.67</v>
      </c>
      <c r="M786" s="11" t="s">
        <v>36</v>
      </c>
      <c r="N786" s="11" t="s">
        <v>23</v>
      </c>
      <c r="O786" s="11" t="s">
        <v>24</v>
      </c>
      <c r="P786" s="11" t="s">
        <v>55</v>
      </c>
      <c r="Q786" s="11" t="s">
        <v>26</v>
      </c>
    </row>
    <row r="787" spans="1:17" x14ac:dyDescent="0.25">
      <c r="A787" s="11" t="s">
        <v>1320</v>
      </c>
      <c r="B787" s="12">
        <v>45668</v>
      </c>
      <c r="C787" s="11" t="s">
        <v>185</v>
      </c>
      <c r="D787" s="11" t="s">
        <v>186</v>
      </c>
      <c r="E787" s="11" t="s">
        <v>20</v>
      </c>
      <c r="F787" s="11" t="s">
        <v>21</v>
      </c>
      <c r="G787" s="11">
        <v>3</v>
      </c>
      <c r="H787" s="11">
        <v>4500</v>
      </c>
      <c r="I787" s="11">
        <v>0.05</v>
      </c>
      <c r="J787" s="11">
        <v>12825</v>
      </c>
      <c r="K787" s="11">
        <v>10206.120000000001</v>
      </c>
      <c r="L787" s="11">
        <v>2618.88</v>
      </c>
      <c r="M787" s="11" t="s">
        <v>59</v>
      </c>
      <c r="N787" s="11" t="s">
        <v>59</v>
      </c>
      <c r="O787" s="11" t="s">
        <v>45</v>
      </c>
      <c r="P787" s="11" t="s">
        <v>25</v>
      </c>
      <c r="Q787" s="11" t="s">
        <v>47</v>
      </c>
    </row>
    <row r="788" spans="1:17" x14ac:dyDescent="0.25">
      <c r="A788" s="11" t="s">
        <v>1321</v>
      </c>
      <c r="B788" s="12">
        <v>46014</v>
      </c>
      <c r="C788" s="11" t="s">
        <v>114</v>
      </c>
      <c r="D788" s="11" t="s">
        <v>115</v>
      </c>
      <c r="E788" s="11" t="s">
        <v>30</v>
      </c>
      <c r="F788" s="11" t="s">
        <v>31</v>
      </c>
      <c r="G788" s="11">
        <v>3</v>
      </c>
      <c r="H788" s="11">
        <v>1200</v>
      </c>
      <c r="I788" s="11">
        <v>0</v>
      </c>
      <c r="J788" s="11">
        <v>3600</v>
      </c>
      <c r="K788" s="11">
        <v>2358.41</v>
      </c>
      <c r="L788" s="11">
        <v>1241.5899999999999</v>
      </c>
      <c r="M788" s="11" t="s">
        <v>70</v>
      </c>
      <c r="N788" s="11" t="s">
        <v>71</v>
      </c>
      <c r="O788" s="11" t="s">
        <v>45</v>
      </c>
      <c r="P788" s="11" t="s">
        <v>37</v>
      </c>
      <c r="Q788" s="11" t="s">
        <v>47</v>
      </c>
    </row>
    <row r="789" spans="1:17" x14ac:dyDescent="0.25">
      <c r="A789" s="11" t="s">
        <v>1322</v>
      </c>
      <c r="B789" s="12">
        <v>45708</v>
      </c>
      <c r="C789" s="11" t="s">
        <v>668</v>
      </c>
      <c r="D789" s="11" t="s">
        <v>669</v>
      </c>
      <c r="E789" s="11" t="s">
        <v>85</v>
      </c>
      <c r="F789" s="11" t="s">
        <v>86</v>
      </c>
      <c r="G789" s="11">
        <v>3</v>
      </c>
      <c r="H789" s="11">
        <v>450</v>
      </c>
      <c r="I789" s="13">
        <v>0.2</v>
      </c>
      <c r="J789" s="11">
        <v>1080</v>
      </c>
      <c r="K789" s="11">
        <v>1092.01</v>
      </c>
      <c r="L789" s="11">
        <v>-12.01</v>
      </c>
      <c r="M789" s="11" t="s">
        <v>70</v>
      </c>
      <c r="N789" s="11" t="s">
        <v>71</v>
      </c>
      <c r="O789" s="11" t="s">
        <v>32</v>
      </c>
      <c r="P789" s="11" t="s">
        <v>46</v>
      </c>
      <c r="Q789" s="11" t="s">
        <v>26</v>
      </c>
    </row>
    <row r="790" spans="1:17" x14ac:dyDescent="0.25">
      <c r="A790" s="11" t="s">
        <v>1323</v>
      </c>
      <c r="B790" s="12">
        <v>45811</v>
      </c>
      <c r="C790" s="11" t="s">
        <v>83</v>
      </c>
      <c r="D790" s="11" t="s">
        <v>84</v>
      </c>
      <c r="E790" s="11" t="s">
        <v>66</v>
      </c>
      <c r="F790" s="11" t="s">
        <v>31</v>
      </c>
      <c r="G790" s="11">
        <v>2</v>
      </c>
      <c r="H790" s="11">
        <v>3500</v>
      </c>
      <c r="I790" s="11">
        <v>0.2</v>
      </c>
      <c r="J790" s="11">
        <v>5600</v>
      </c>
      <c r="K790" s="11">
        <v>5251.95</v>
      </c>
      <c r="L790" s="11">
        <v>348.05</v>
      </c>
      <c r="M790" s="11" t="s">
        <v>59</v>
      </c>
      <c r="N790" s="11" t="s">
        <v>59</v>
      </c>
      <c r="O790" s="11" t="s">
        <v>45</v>
      </c>
      <c r="P790" s="11" t="s">
        <v>55</v>
      </c>
      <c r="Q790" s="11" t="s">
        <v>47</v>
      </c>
    </row>
    <row r="791" spans="1:17" x14ac:dyDescent="0.25">
      <c r="A791" s="11" t="s">
        <v>1324</v>
      </c>
      <c r="B791" s="12">
        <v>45682</v>
      </c>
      <c r="C791" s="11" t="s">
        <v>434</v>
      </c>
      <c r="D791" s="11" t="s">
        <v>435</v>
      </c>
      <c r="E791" s="11" t="s">
        <v>112</v>
      </c>
      <c r="F791" s="11" t="s">
        <v>94</v>
      </c>
      <c r="G791" s="11">
        <v>3</v>
      </c>
      <c r="H791" s="11">
        <v>800</v>
      </c>
      <c r="I791" s="13">
        <v>0.1</v>
      </c>
      <c r="J791" s="11">
        <v>2160</v>
      </c>
      <c r="K791" s="11">
        <v>1781.92</v>
      </c>
      <c r="L791" s="11">
        <v>378.08</v>
      </c>
      <c r="M791" s="11" t="s">
        <v>36</v>
      </c>
      <c r="N791" s="11" t="s">
        <v>23</v>
      </c>
      <c r="O791" s="11" t="s">
        <v>32</v>
      </c>
      <c r="P791" s="11" t="s">
        <v>25</v>
      </c>
      <c r="Q791" s="11" t="s">
        <v>60</v>
      </c>
    </row>
    <row r="792" spans="1:17" x14ac:dyDescent="0.25">
      <c r="A792" s="11" t="s">
        <v>1325</v>
      </c>
      <c r="B792" s="12">
        <v>45961</v>
      </c>
      <c r="C792" s="11" t="s">
        <v>420</v>
      </c>
      <c r="D792" s="11" t="s">
        <v>421</v>
      </c>
      <c r="E792" s="11" t="s">
        <v>62</v>
      </c>
      <c r="F792" s="11" t="s">
        <v>21</v>
      </c>
      <c r="G792" s="11">
        <v>5</v>
      </c>
      <c r="H792" s="11">
        <v>1800</v>
      </c>
      <c r="I792" s="11">
        <v>0</v>
      </c>
      <c r="J792" s="11">
        <v>9000</v>
      </c>
      <c r="K792" s="11">
        <v>5989.25</v>
      </c>
      <c r="L792" s="11">
        <v>3010.75</v>
      </c>
      <c r="M792" s="11" t="s">
        <v>59</v>
      </c>
      <c r="N792" s="11" t="s">
        <v>59</v>
      </c>
      <c r="O792" s="11" t="s">
        <v>24</v>
      </c>
      <c r="P792" s="11" t="s">
        <v>37</v>
      </c>
      <c r="Q792" s="11" t="s">
        <v>26</v>
      </c>
    </row>
    <row r="793" spans="1:17" x14ac:dyDescent="0.25">
      <c r="A793" s="11" t="s">
        <v>1326</v>
      </c>
      <c r="B793" s="12">
        <v>45991</v>
      </c>
      <c r="C793" s="11" t="s">
        <v>551</v>
      </c>
      <c r="D793" s="11" t="s">
        <v>552</v>
      </c>
      <c r="E793" s="11" t="s">
        <v>112</v>
      </c>
      <c r="F793" s="11" t="s">
        <v>94</v>
      </c>
      <c r="G793" s="11">
        <v>3</v>
      </c>
      <c r="H793" s="11">
        <v>800</v>
      </c>
      <c r="I793" s="11">
        <v>0</v>
      </c>
      <c r="J793" s="11">
        <v>2400</v>
      </c>
      <c r="K793" s="11">
        <v>2003.88</v>
      </c>
      <c r="L793" s="11">
        <v>396.12</v>
      </c>
      <c r="M793" s="11" t="s">
        <v>36</v>
      </c>
      <c r="N793" s="11" t="s">
        <v>23</v>
      </c>
      <c r="O793" s="11" t="s">
        <v>45</v>
      </c>
      <c r="P793" s="11" t="s">
        <v>25</v>
      </c>
      <c r="Q793" s="11" t="s">
        <v>26</v>
      </c>
    </row>
    <row r="794" spans="1:17" x14ac:dyDescent="0.25">
      <c r="A794" s="11" t="s">
        <v>1327</v>
      </c>
      <c r="B794" s="12">
        <v>45786</v>
      </c>
      <c r="C794" s="11" t="s">
        <v>1328</v>
      </c>
      <c r="D794" s="11" t="s">
        <v>1329</v>
      </c>
      <c r="E794" s="11" t="s">
        <v>112</v>
      </c>
      <c r="F794" s="11" t="s">
        <v>94</v>
      </c>
      <c r="G794" s="11">
        <v>4</v>
      </c>
      <c r="H794" s="11">
        <v>800</v>
      </c>
      <c r="I794" s="13">
        <v>0.15</v>
      </c>
      <c r="J794" s="11">
        <v>2720</v>
      </c>
      <c r="K794" s="11">
        <v>2641.89</v>
      </c>
      <c r="L794" s="11">
        <v>78.11</v>
      </c>
      <c r="M794" s="11" t="s">
        <v>70</v>
      </c>
      <c r="N794" s="11" t="s">
        <v>71</v>
      </c>
      <c r="O794" s="11" t="s">
        <v>32</v>
      </c>
      <c r="P794" s="11" t="s">
        <v>55</v>
      </c>
      <c r="Q794" s="11" t="s">
        <v>60</v>
      </c>
    </row>
    <row r="795" spans="1:17" x14ac:dyDescent="0.25">
      <c r="A795" s="11" t="s">
        <v>1330</v>
      </c>
      <c r="B795" s="12">
        <v>45767</v>
      </c>
      <c r="C795" s="11" t="s">
        <v>633</v>
      </c>
      <c r="D795" s="11" t="s">
        <v>634</v>
      </c>
      <c r="E795" s="11" t="s">
        <v>93</v>
      </c>
      <c r="F795" s="11" t="s">
        <v>94</v>
      </c>
      <c r="G795" s="11">
        <v>5</v>
      </c>
      <c r="H795" s="11">
        <v>2800</v>
      </c>
      <c r="I795" s="11">
        <v>0.15</v>
      </c>
      <c r="J795" s="11">
        <v>11900</v>
      </c>
      <c r="K795" s="11">
        <v>12117.66</v>
      </c>
      <c r="L795" s="11">
        <v>-217.66</v>
      </c>
      <c r="M795" s="11" t="s">
        <v>70</v>
      </c>
      <c r="N795" s="11" t="s">
        <v>71</v>
      </c>
      <c r="O795" s="11" t="s">
        <v>24</v>
      </c>
      <c r="P795" s="11" t="s">
        <v>25</v>
      </c>
      <c r="Q795" s="11" t="s">
        <v>26</v>
      </c>
    </row>
    <row r="796" spans="1:17" x14ac:dyDescent="0.25">
      <c r="A796" s="11" t="s">
        <v>1331</v>
      </c>
      <c r="B796" s="12">
        <v>45844</v>
      </c>
      <c r="C796" s="11" t="s">
        <v>208</v>
      </c>
      <c r="D796" s="11" t="s">
        <v>209</v>
      </c>
      <c r="E796" s="11" t="s">
        <v>141</v>
      </c>
      <c r="F796" s="11" t="s">
        <v>21</v>
      </c>
      <c r="G796" s="11">
        <v>5</v>
      </c>
      <c r="H796" s="11">
        <v>22000</v>
      </c>
      <c r="I796" s="11">
        <v>0.05</v>
      </c>
      <c r="J796" s="11">
        <v>104500</v>
      </c>
      <c r="K796" s="11">
        <v>77581.460000000006</v>
      </c>
      <c r="L796" s="11">
        <v>26918.54</v>
      </c>
      <c r="M796" s="11" t="s">
        <v>70</v>
      </c>
      <c r="N796" s="11" t="s">
        <v>71</v>
      </c>
      <c r="O796" s="11" t="s">
        <v>24</v>
      </c>
      <c r="P796" s="11" t="s">
        <v>46</v>
      </c>
      <c r="Q796" s="11" t="s">
        <v>26</v>
      </c>
    </row>
    <row r="797" spans="1:17" x14ac:dyDescent="0.25">
      <c r="A797" s="11" t="s">
        <v>1332</v>
      </c>
      <c r="B797" s="12">
        <v>45982</v>
      </c>
      <c r="C797" s="11" t="s">
        <v>403</v>
      </c>
      <c r="D797" s="11" t="s">
        <v>404</v>
      </c>
      <c r="E797" s="11" t="s">
        <v>30</v>
      </c>
      <c r="F797" s="11" t="s">
        <v>31</v>
      </c>
      <c r="G797" s="11">
        <v>3</v>
      </c>
      <c r="H797" s="11">
        <v>1200</v>
      </c>
      <c r="I797" s="11">
        <v>0</v>
      </c>
      <c r="J797" s="11">
        <v>3600</v>
      </c>
      <c r="K797" s="11">
        <v>2681.5</v>
      </c>
      <c r="L797" s="11">
        <v>918.5</v>
      </c>
      <c r="M797" s="11" t="s">
        <v>22</v>
      </c>
      <c r="N797" s="11" t="s">
        <v>23</v>
      </c>
      <c r="O797" s="11" t="s">
        <v>45</v>
      </c>
      <c r="P797" s="11" t="s">
        <v>95</v>
      </c>
      <c r="Q797" s="11" t="s">
        <v>26</v>
      </c>
    </row>
    <row r="798" spans="1:17" x14ac:dyDescent="0.25">
      <c r="A798" s="11" t="s">
        <v>1333</v>
      </c>
      <c r="B798" s="12">
        <v>45716</v>
      </c>
      <c r="C798" s="11" t="s">
        <v>999</v>
      </c>
      <c r="D798" s="11" t="s">
        <v>1000</v>
      </c>
      <c r="E798" s="11" t="s">
        <v>116</v>
      </c>
      <c r="F798" s="11" t="s">
        <v>94</v>
      </c>
      <c r="G798" s="11">
        <v>4</v>
      </c>
      <c r="H798" s="11">
        <v>1800</v>
      </c>
      <c r="I798" s="11">
        <v>0.05</v>
      </c>
      <c r="J798" s="11">
        <v>6840</v>
      </c>
      <c r="K798" s="11">
        <v>4725.88</v>
      </c>
      <c r="L798" s="11">
        <v>2114.12</v>
      </c>
      <c r="M798" s="11" t="s">
        <v>80</v>
      </c>
      <c r="N798" s="11" t="s">
        <v>81</v>
      </c>
      <c r="O798" s="11" t="s">
        <v>45</v>
      </c>
      <c r="P798" s="11" t="s">
        <v>37</v>
      </c>
      <c r="Q798" s="11" t="s">
        <v>26</v>
      </c>
    </row>
    <row r="799" spans="1:17" x14ac:dyDescent="0.25">
      <c r="A799" s="11" t="s">
        <v>1334</v>
      </c>
      <c r="B799" s="12">
        <v>45761</v>
      </c>
      <c r="C799" s="11" t="s">
        <v>420</v>
      </c>
      <c r="D799" s="11" t="s">
        <v>421</v>
      </c>
      <c r="E799" s="11" t="s">
        <v>30</v>
      </c>
      <c r="F799" s="11" t="s">
        <v>31</v>
      </c>
      <c r="G799" s="11">
        <v>4</v>
      </c>
      <c r="H799" s="11">
        <v>1200</v>
      </c>
      <c r="I799" s="11">
        <v>0</v>
      </c>
      <c r="J799" s="11">
        <v>4800</v>
      </c>
      <c r="K799" s="11">
        <v>3270.62</v>
      </c>
      <c r="L799" s="11">
        <v>1529.38</v>
      </c>
      <c r="M799" s="11" t="s">
        <v>80</v>
      </c>
      <c r="N799" s="11" t="s">
        <v>81</v>
      </c>
      <c r="O799" s="11" t="s">
        <v>45</v>
      </c>
      <c r="P799" s="11" t="s">
        <v>46</v>
      </c>
      <c r="Q799" s="11" t="s">
        <v>60</v>
      </c>
    </row>
    <row r="800" spans="1:17" x14ac:dyDescent="0.25">
      <c r="A800" s="11" t="s">
        <v>1335</v>
      </c>
      <c r="B800" s="12">
        <v>45668</v>
      </c>
      <c r="C800" s="11" t="s">
        <v>869</v>
      </c>
      <c r="D800" s="11" t="s">
        <v>870</v>
      </c>
      <c r="E800" s="11" t="s">
        <v>93</v>
      </c>
      <c r="F800" s="11" t="s">
        <v>94</v>
      </c>
      <c r="G800" s="11">
        <v>1</v>
      </c>
      <c r="H800" s="11">
        <v>2800</v>
      </c>
      <c r="I800" s="11">
        <v>0.15</v>
      </c>
      <c r="J800" s="11">
        <v>2380</v>
      </c>
      <c r="K800" s="11">
        <v>2397.35</v>
      </c>
      <c r="L800" s="11">
        <v>-17.350000000000001</v>
      </c>
      <c r="M800" s="11" t="s">
        <v>99</v>
      </c>
      <c r="N800" s="11" t="s">
        <v>71</v>
      </c>
      <c r="O800" s="11" t="s">
        <v>45</v>
      </c>
      <c r="P800" s="11" t="s">
        <v>25</v>
      </c>
      <c r="Q800" s="11" t="s">
        <v>26</v>
      </c>
    </row>
    <row r="801" spans="1:17" x14ac:dyDescent="0.25">
      <c r="A801" s="11" t="s">
        <v>1336</v>
      </c>
      <c r="B801" s="12">
        <v>46001</v>
      </c>
      <c r="C801" s="11" t="s">
        <v>149</v>
      </c>
      <c r="D801" s="11" t="s">
        <v>150</v>
      </c>
      <c r="E801" s="11" t="s">
        <v>62</v>
      </c>
      <c r="F801" s="11" t="s">
        <v>21</v>
      </c>
      <c r="G801" s="11">
        <v>4</v>
      </c>
      <c r="H801" s="11">
        <v>1800</v>
      </c>
      <c r="I801" s="11">
        <v>0.1</v>
      </c>
      <c r="J801" s="11">
        <v>6480</v>
      </c>
      <c r="K801" s="11">
        <v>6241.88</v>
      </c>
      <c r="L801" s="11">
        <v>238.12</v>
      </c>
      <c r="M801" s="11" t="s">
        <v>43</v>
      </c>
      <c r="N801" s="11" t="s">
        <v>44</v>
      </c>
      <c r="O801" s="11" t="s">
        <v>24</v>
      </c>
      <c r="P801" s="11" t="s">
        <v>95</v>
      </c>
      <c r="Q801" s="11" t="s">
        <v>26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84FC-9690-481C-B238-0209F4304F06}">
  <sheetPr codeName="Sheet10"/>
  <dimension ref="A1:B6"/>
  <sheetViews>
    <sheetView workbookViewId="0">
      <selection activeCell="B2" sqref="B2:B6"/>
    </sheetView>
  </sheetViews>
  <sheetFormatPr defaultRowHeight="15" x14ac:dyDescent="0.25"/>
  <cols>
    <col min="1" max="1" width="13.7109375" bestFit="1" customWidth="1"/>
    <col min="2" max="2" width="14.28515625" bestFit="1" customWidth="1"/>
  </cols>
  <sheetData>
    <row r="1" spans="1:2" x14ac:dyDescent="0.25">
      <c r="A1" t="s">
        <v>1350</v>
      </c>
      <c r="B1" t="s">
        <v>1351</v>
      </c>
    </row>
    <row r="2" spans="1:2" x14ac:dyDescent="0.25">
      <c r="A2" t="s">
        <v>1352</v>
      </c>
      <c r="B2" s="7">
        <f>SUM(Raw_Data!J:J)</f>
        <v>16126525</v>
      </c>
    </row>
    <row r="3" spans="1:2" x14ac:dyDescent="0.25">
      <c r="A3" t="s">
        <v>1353</v>
      </c>
      <c r="B3" s="7">
        <f>SUM(Raw_Data!L:L)</f>
        <v>2398286.7399999984</v>
      </c>
    </row>
    <row r="4" spans="1:2" x14ac:dyDescent="0.25">
      <c r="A4" t="s">
        <v>1354</v>
      </c>
      <c r="B4" s="7">
        <f>SUM(Raw_Data!G:G)</f>
        <v>2407</v>
      </c>
    </row>
    <row r="5" spans="1:2" x14ac:dyDescent="0.25">
      <c r="A5" t="s">
        <v>1355</v>
      </c>
      <c r="B5" s="7">
        <f>COUNTA(Raw_Data!A:A)-1</f>
        <v>800</v>
      </c>
    </row>
    <row r="6" spans="1:2" x14ac:dyDescent="0.25">
      <c r="A6" t="s">
        <v>1356</v>
      </c>
      <c r="B6" s="7">
        <f>AVERAGE(Raw_Data!J:J)</f>
        <v>20158.15625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88D3-1B06-4A70-904A-CDFBF2BD43F7}">
  <sheetPr codeName="Sheet11"/>
  <dimension ref="A1:D10"/>
  <sheetViews>
    <sheetView zoomScale="85" zoomScaleNormal="85" workbookViewId="0">
      <selection activeCell="I11" sqref="I11"/>
    </sheetView>
  </sheetViews>
  <sheetFormatPr defaultRowHeight="15" x14ac:dyDescent="0.25"/>
  <cols>
    <col min="1" max="1" width="6.42578125" style="14" bestFit="1" customWidth="1"/>
    <col min="2" max="2" width="31.140625" bestFit="1" customWidth="1"/>
    <col min="3" max="3" width="19.7109375" style="15" customWidth="1"/>
    <col min="4" max="4" width="37.7109375" style="18" customWidth="1"/>
  </cols>
  <sheetData>
    <row r="1" spans="1:4" ht="18.75" customHeight="1" x14ac:dyDescent="0.25">
      <c r="A1" s="14" t="s">
        <v>1374</v>
      </c>
      <c r="B1" t="s">
        <v>1393</v>
      </c>
      <c r="C1" s="15" t="s">
        <v>1392</v>
      </c>
      <c r="D1" s="18" t="s">
        <v>1394</v>
      </c>
    </row>
    <row r="2" spans="1:4" ht="51.75" customHeight="1" x14ac:dyDescent="0.25">
      <c r="A2" s="16">
        <v>1</v>
      </c>
      <c r="B2" s="15" t="s">
        <v>1375</v>
      </c>
      <c r="C2" s="20" t="s">
        <v>1396</v>
      </c>
      <c r="D2" s="19" t="s">
        <v>1404</v>
      </c>
    </row>
    <row r="3" spans="1:4" ht="49.5" customHeight="1" x14ac:dyDescent="0.25">
      <c r="A3" s="16">
        <v>2</v>
      </c>
      <c r="B3" s="15" t="s">
        <v>1376</v>
      </c>
      <c r="C3" s="17" t="s">
        <v>1398</v>
      </c>
      <c r="D3" s="19" t="s">
        <v>1388</v>
      </c>
    </row>
    <row r="4" spans="1:4" ht="49.5" customHeight="1" x14ac:dyDescent="0.25">
      <c r="A4" s="16">
        <v>3</v>
      </c>
      <c r="B4" s="15" t="s">
        <v>1377</v>
      </c>
      <c r="C4" s="17" t="s">
        <v>1397</v>
      </c>
      <c r="D4" s="19" t="s">
        <v>1387</v>
      </c>
    </row>
    <row r="5" spans="1:4" ht="45.75" customHeight="1" x14ac:dyDescent="0.25">
      <c r="A5" s="16">
        <v>4</v>
      </c>
      <c r="B5" s="15" t="s">
        <v>1378</v>
      </c>
      <c r="C5" s="17" t="s">
        <v>1399</v>
      </c>
      <c r="D5" s="19" t="s">
        <v>1386</v>
      </c>
    </row>
    <row r="6" spans="1:4" ht="43.5" customHeight="1" x14ac:dyDescent="0.25">
      <c r="A6" s="16">
        <v>5</v>
      </c>
      <c r="B6" s="15" t="s">
        <v>1379</v>
      </c>
      <c r="C6" s="17" t="s">
        <v>1401</v>
      </c>
      <c r="D6" s="19" t="s">
        <v>1385</v>
      </c>
    </row>
    <row r="7" spans="1:4" ht="33" customHeight="1" x14ac:dyDescent="0.25">
      <c r="A7" s="16">
        <v>6</v>
      </c>
      <c r="B7" s="15" t="s">
        <v>1380</v>
      </c>
      <c r="C7" s="17" t="s">
        <v>1400</v>
      </c>
      <c r="D7" s="19" t="s">
        <v>1384</v>
      </c>
    </row>
    <row r="8" spans="1:4" ht="36.75" customHeight="1" x14ac:dyDescent="0.25">
      <c r="A8" s="16">
        <v>7</v>
      </c>
      <c r="B8" s="15" t="s">
        <v>1381</v>
      </c>
      <c r="C8" s="17" t="s">
        <v>1402</v>
      </c>
      <c r="D8" s="19" t="s">
        <v>1389</v>
      </c>
    </row>
    <row r="9" spans="1:4" ht="36.75" customHeight="1" x14ac:dyDescent="0.25">
      <c r="A9" s="16">
        <v>8</v>
      </c>
      <c r="B9" s="15" t="s">
        <v>1382</v>
      </c>
      <c r="C9" s="17" t="s">
        <v>1403</v>
      </c>
      <c r="D9" s="19" t="s">
        <v>1390</v>
      </c>
    </row>
    <row r="10" spans="1:4" ht="59.25" customHeight="1" x14ac:dyDescent="0.25">
      <c r="A10" s="16">
        <v>9</v>
      </c>
      <c r="B10" s="15" t="s">
        <v>1383</v>
      </c>
      <c r="C10" s="17" t="s">
        <v>1395</v>
      </c>
      <c r="D10" s="19" t="s">
        <v>1391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C4BC0-80ED-4F15-A9BB-A5B9233BAE23}">
  <dimension ref="A1:H5"/>
  <sheetViews>
    <sheetView zoomScaleNormal="100" workbookViewId="0">
      <selection activeCell="G44" sqref="G44"/>
    </sheetView>
  </sheetViews>
  <sheetFormatPr defaultRowHeight="15" x14ac:dyDescent="0.25"/>
  <cols>
    <col min="1" max="1" width="15" bestFit="1" customWidth="1"/>
    <col min="3" max="3" width="13.42578125" bestFit="1" customWidth="1"/>
    <col min="5" max="5" width="11.85546875" bestFit="1" customWidth="1"/>
    <col min="7" max="7" width="14.140625" customWidth="1"/>
  </cols>
  <sheetData>
    <row r="1" spans="1:8" ht="23.25" x14ac:dyDescent="0.35">
      <c r="A1" s="27" t="s">
        <v>1405</v>
      </c>
      <c r="B1" s="28"/>
      <c r="C1" s="28"/>
      <c r="D1" s="28"/>
      <c r="E1" s="28"/>
      <c r="F1" s="28"/>
      <c r="G1" s="28"/>
      <c r="H1" s="28"/>
    </row>
    <row r="4" spans="1:8" x14ac:dyDescent="0.25">
      <c r="A4" s="22" t="s">
        <v>1352</v>
      </c>
      <c r="C4" s="22" t="s">
        <v>1353</v>
      </c>
      <c r="E4" s="22" t="s">
        <v>1355</v>
      </c>
      <c r="G4" s="24" t="s">
        <v>1354</v>
      </c>
    </row>
    <row r="5" spans="1:8" x14ac:dyDescent="0.25">
      <c r="A5" s="26">
        <f>SUM(Raw_Data!J:J)</f>
        <v>16126525</v>
      </c>
      <c r="C5" s="23">
        <f>SUM(Raw_Data!L:L)</f>
        <v>2398286.7399999984</v>
      </c>
      <c r="E5" s="22">
        <f>COUNTA(Raw_Data!A:A)-1</f>
        <v>800</v>
      </c>
      <c r="G5" s="25">
        <f>SUM(Raw_Data!G:G)</f>
        <v>2407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/>
  <dimension ref="A1:B6"/>
  <sheetViews>
    <sheetView workbookViewId="0"/>
  </sheetViews>
  <sheetFormatPr defaultRowHeight="15" x14ac:dyDescent="0.25"/>
  <cols>
    <col min="1" max="1" width="21" bestFit="1" customWidth="1"/>
    <col min="2" max="2" width="58.85546875" bestFit="1" customWidth="1"/>
  </cols>
  <sheetData>
    <row r="1" spans="1:2" x14ac:dyDescent="0.25">
      <c r="A1" s="1" t="s">
        <v>1337</v>
      </c>
      <c r="B1" s="1" t="s">
        <v>1338</v>
      </c>
    </row>
    <row r="2" spans="1:2" x14ac:dyDescent="0.25">
      <c r="A2" t="s">
        <v>1339</v>
      </c>
      <c r="B2" t="s">
        <v>1340</v>
      </c>
    </row>
    <row r="3" spans="1:2" x14ac:dyDescent="0.25">
      <c r="A3" t="s">
        <v>1341</v>
      </c>
      <c r="B3" t="s">
        <v>1342</v>
      </c>
    </row>
    <row r="4" spans="1:2" x14ac:dyDescent="0.25">
      <c r="A4" t="s">
        <v>1343</v>
      </c>
      <c r="B4" t="s">
        <v>1344</v>
      </c>
    </row>
    <row r="5" spans="1:2" x14ac:dyDescent="0.25">
      <c r="A5" t="s">
        <v>1345</v>
      </c>
      <c r="B5" t="s">
        <v>1346</v>
      </c>
    </row>
    <row r="6" spans="1:2" x14ac:dyDescent="0.25">
      <c r="A6" t="s">
        <v>1347</v>
      </c>
      <c r="B6" t="s">
        <v>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Monthly sales by trend</vt:lpstr>
      <vt:lpstr>Sales by category</vt:lpstr>
      <vt:lpstr>Profit by category</vt:lpstr>
      <vt:lpstr>Sales by Customer segment</vt:lpstr>
      <vt:lpstr>Sales by state</vt:lpstr>
      <vt:lpstr>Sales by payment </vt:lpstr>
      <vt:lpstr>Orders by order status</vt:lpstr>
      <vt:lpstr>Profit by customer segment</vt:lpstr>
      <vt:lpstr>Raw_Data</vt:lpstr>
      <vt:lpstr>Analysis</vt:lpstr>
      <vt:lpstr>Key Insights</vt:lpstr>
      <vt:lpstr>ecommerce_data</vt:lpstr>
      <vt:lpstr>Project_Guide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soujanya D B</cp:lastModifiedBy>
  <cp:lastPrinted>2026-09-12T08:14:52Z</cp:lastPrinted>
  <dcterms:created xsi:type="dcterms:W3CDTF">2026-09-11T14:15:51Z</dcterms:created>
  <dcterms:modified xsi:type="dcterms:W3CDTF">2026-09-15T06:28:14Z</dcterms:modified>
</cp:coreProperties>
</file>